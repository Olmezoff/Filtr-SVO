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_olmezov\Desktop\"/>
    </mc:Choice>
  </mc:AlternateContent>
  <xr:revisionPtr revIDLastSave="0" documentId="13_ncr:1_{CA01EE26-E85A-423F-AC2A-7345457BC4E8}" xr6:coauthVersionLast="47" xr6:coauthVersionMax="47" xr10:uidLastSave="{00000000-0000-0000-0000-000000000000}"/>
  <bookViews>
    <workbookView xWindow="-120" yWindow="-120" windowWidth="29040" windowHeight="15840" firstSheet="1" activeTab="2" xr2:uid="{00000000-000D-0000-FFFF-FFFF00000000}"/>
  </bookViews>
  <sheets>
    <sheet name="Лист1" sheetId="3" state="hidden" r:id="rId1"/>
    <sheet name="Лист2" sheetId="4" r:id="rId2"/>
    <sheet name="Лист3" sheetId="5" r:id="rId3"/>
  </sheets>
  <definedNames>
    <definedName name="_xlnm._FilterDatabase" localSheetId="0" hidden="1">Лист1!$A$1:$X$61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2" i="5" l="1"/>
  <c r="D63" i="5"/>
  <c r="C3" i="5" a="1"/>
  <c r="C3" i="5" s="1"/>
  <c r="D3" i="5" s="1"/>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D4" i="5" l="1"/>
  <c r="D5" i="5" l="1"/>
  <c r="D6" i="5" l="1"/>
  <c r="D7" i="5" l="1"/>
  <c r="D10" i="5"/>
  <c r="D8" i="5" l="1"/>
  <c r="D9" i="5" l="1"/>
  <c r="D11" i="5" l="1"/>
  <c r="D12" i="5" l="1"/>
  <c r="D13" i="5" s="1"/>
  <c r="D14" i="5" l="1"/>
  <c r="D15" i="5" s="1"/>
  <c r="D16" i="5" s="1"/>
  <c r="D17" i="5" l="1"/>
  <c r="D18" i="5" s="1"/>
  <c r="D19" i="5" l="1"/>
  <c r="D20" i="5" s="1"/>
  <c r="D21" i="5" l="1"/>
  <c r="D22" i="5" s="1"/>
  <c r="D23" i="5" s="1"/>
  <c r="D24" i="5" s="1"/>
  <c r="D25" i="5" l="1"/>
  <c r="D26" i="5" s="1"/>
  <c r="D41" i="5"/>
  <c r="D42" i="5" s="1"/>
  <c r="D27" i="5" l="1"/>
  <c r="D28" i="5" s="1"/>
  <c r="D29" i="5" s="1"/>
  <c r="D30" i="5" s="1"/>
  <c r="D31" i="5" s="1"/>
  <c r="D32" i="5" s="1"/>
  <c r="D33" i="5" s="1"/>
  <c r="D34" i="5" s="1"/>
  <c r="D35" i="5" s="1"/>
  <c r="D36" i="5" s="1"/>
  <c r="D37" i="5" s="1"/>
  <c r="D38" i="5" s="1"/>
  <c r="D39" i="5" l="1"/>
  <c r="D40" i="5" s="1"/>
  <c r="D45" i="5"/>
  <c r="D50" i="5"/>
  <c r="D43" i="5" l="1"/>
  <c r="D44" i="5" s="1"/>
  <c r="D49" i="5"/>
  <c r="D51" i="5" s="1"/>
  <c r="D52" i="5" s="1"/>
  <c r="D53" i="5" s="1"/>
  <c r="D54" i="5" s="1"/>
  <c r="D55" i="5" s="1"/>
  <c r="D46" i="5" l="1"/>
  <c r="D47" i="5" s="1"/>
  <c r="D48" i="5" s="1"/>
  <c r="D56" i="5" l="1"/>
  <c r="D57" i="5" s="1"/>
  <c r="D58" i="5" s="1"/>
  <c r="D59" i="5" s="1"/>
  <c r="D60" i="5" s="1"/>
  <c r="D61" i="5" s="1"/>
  <c r="B3" i="5" l="1"/>
  <c r="B6" i="5"/>
  <c r="B4" i="5"/>
  <c r="B5" i="5"/>
  <c r="B7" i="5"/>
  <c r="B8" i="5"/>
  <c r="B34" i="5"/>
  <c r="B58" i="5"/>
  <c r="B10" i="5"/>
  <c r="B17" i="5"/>
  <c r="B55" i="5"/>
  <c r="B40" i="5"/>
  <c r="B16" i="5"/>
  <c r="B61" i="5"/>
  <c r="B25" i="5"/>
  <c r="B29" i="5"/>
  <c r="B15" i="5"/>
  <c r="B21" i="5"/>
  <c r="B22" i="5"/>
  <c r="B27" i="5"/>
  <c r="B44" i="5"/>
  <c r="B20" i="5"/>
  <c r="B38" i="5"/>
  <c r="B37" i="5"/>
  <c r="B13" i="5"/>
  <c r="B50" i="5"/>
  <c r="B43" i="5"/>
  <c r="B9" i="5"/>
  <c r="B30" i="5"/>
  <c r="B53" i="5"/>
  <c r="B59" i="5"/>
  <c r="B18" i="5"/>
  <c r="B57" i="5"/>
  <c r="B49" i="5"/>
  <c r="B32" i="5"/>
  <c r="B33" i="5"/>
  <c r="B54" i="5"/>
  <c r="B51" i="5"/>
  <c r="B39" i="5"/>
  <c r="B35" i="5"/>
  <c r="B19" i="5"/>
  <c r="B26" i="5"/>
  <c r="B56" i="5"/>
  <c r="B62" i="5"/>
  <c r="B45" i="5"/>
  <c r="B31" i="5"/>
  <c r="B52" i="5"/>
  <c r="B11" i="5"/>
  <c r="B63" i="5"/>
  <c r="B23" i="5"/>
  <c r="B28" i="5"/>
  <c r="B47" i="5"/>
  <c r="B12" i="5"/>
  <c r="B41" i="5"/>
  <c r="B36" i="5"/>
  <c r="B46" i="5"/>
  <c r="B42" i="5"/>
  <c r="B24" i="5"/>
  <c r="B48" i="5"/>
  <c r="B14" i="5"/>
  <c r="B60" i="5"/>
  <c r="A3" i="5"/>
  <c r="A4" i="5" s="1"/>
  <c r="A5" i="5" l="1"/>
  <c r="A6" i="5" s="1"/>
  <c r="A7" i="5" s="1"/>
  <c r="A8" i="5" l="1"/>
  <c r="A9" i="5" s="1"/>
  <c r="A10" i="5" l="1"/>
  <c r="A11" i="5" l="1"/>
  <c r="A12" i="5" l="1"/>
  <c r="A13" i="5" l="1"/>
  <c r="A14" i="5" l="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alcChain>
</file>

<file path=xl/sharedStrings.xml><?xml version="1.0" encoding="utf-8"?>
<sst xmlns="http://schemas.openxmlformats.org/spreadsheetml/2006/main" count="552" uniqueCount="124">
  <si>
    <t>Наименование услуги</t>
  </si>
  <si>
    <t>Обеспечение инвалидов техническими средствами реабилитации и отдельных категорий граждан из числа ветеранов протезами (кроме зубных протезов), протезно-ортопедическими изделиями</t>
  </si>
  <si>
    <t>Р</t>
  </si>
  <si>
    <t>Ф</t>
  </si>
  <si>
    <t>Тип поля:</t>
  </si>
  <si>
    <t>РФ
Иное</t>
  </si>
  <si>
    <t>РФ</t>
  </si>
  <si>
    <t>Постоянная</t>
  </si>
  <si>
    <t>Постоянная
Временная</t>
  </si>
  <si>
    <t>Есть  инвалидность</t>
  </si>
  <si>
    <t>Да</t>
  </si>
  <si>
    <t>Семья является многодетной</t>
  </si>
  <si>
    <t>Медицинское заключение для получения технических средств реабилитации</t>
  </si>
  <si>
    <t xml:space="preserve">Справка о ранении </t>
  </si>
  <si>
    <t>Получена справка об участии в СВО</t>
  </si>
  <si>
    <t>ID_МАИС</t>
  </si>
  <si>
    <t>Да/Нет</t>
  </si>
  <si>
    <t>Справка МСЭ (медико-социальной экспертизы)</t>
  </si>
  <si>
    <t>ИПРА  (индивидуальная программа реабилитации)</t>
  </si>
  <si>
    <t xml:space="preserve">РФ
</t>
  </si>
  <si>
    <t>Получено удостоверение Ветерана боевых действий</t>
  </si>
  <si>
    <t>Необходимо подать заявление о банкротстве</t>
  </si>
  <si>
    <t>Признание гражданина банкротом во внесудебном порядке</t>
  </si>
  <si>
    <t>Гражданство</t>
  </si>
  <si>
    <t>Плачу налоги (транспортный, земельный налог, налог на имущество физ. лиц)</t>
  </si>
  <si>
    <t xml:space="preserve">Взимание и использование родительской платы за присмотр и уход за воспитанником в образовательных учреждениях , реализующих основную образовательную программу дошкольного образования </t>
  </si>
  <si>
    <t xml:space="preserve">Прием заявлений постановка на учет и зачисление детей в образовательные организации реализующие основную общеобразовательную программу дошкольного образования в образовательных организациях </t>
  </si>
  <si>
    <t>Предоставление отсрочки уплаты арендной платы по договорам аренды муниципального имущества  в связи с частичной мобилизацией</t>
  </si>
  <si>
    <t>Прием на обучение по образовательным программам начального общего основного общего и среднего общего образования в учреждения муниципальных районов КБР</t>
  </si>
  <si>
    <t>О бесплатном предоставлении в собственность отдельным категориям граждан земельных участков для индивидуального жилищного строительства на территории Кабардино-Балкарской Республики</t>
  </si>
  <si>
    <t>Освобождение от начисления пеней в случае несвоевременного и (или) неполного внесения гражданами Российской Федерации заключившими контракт о прохождении военной службы в связи с призывом на военную службу по мобилизации в Вооруженные Силы Российской Федерации и члены их семей платы за жилое помещение и коммунальные услуги взноса на капитальный ремонт общего имущества в многоквартирном доме установленных жилищным законодательством Российской Федерации</t>
  </si>
  <si>
    <t>Предоставление семьям участников специальной военной операции права бесплатного посещения детьми занятий по дополнительным общеобразовательным программам в региональных и муниципальных организациях (кружки, секции и иные подобные занятия) (в том числе в случае гибели (смерти) участников специальной военной операции)</t>
  </si>
  <si>
    <t>Организации оздоровления отдыха и занятости детей в летний период</t>
  </si>
  <si>
    <t>Первоочередное право на приобретение садовых земельных участков или огородных земельных участков</t>
  </si>
  <si>
    <t>Освобождение от уплаты услуг по водоснабжению и водоотведению</t>
  </si>
  <si>
    <t>Предоставление возможности расторжения договоров аренды без применения штрафных санкций</t>
  </si>
  <si>
    <t>Зачисление в первоочередном порядке в образовательную организацию на обучение по образовательным программам среднего профессионального образования</t>
  </si>
  <si>
    <t>Оказание медицинской помощи в медицинских организациях во внеочередном порядке участникам специальной военной операции</t>
  </si>
  <si>
    <t>Обеспечение бесплатного посещения культурно-массовых мероприятий на территории Кабардино-Балкарской Республики для лиц участников СВО и членам семей принимающих (принимавших) участие в специальной военной операции</t>
  </si>
  <si>
    <t>Оказание государственной социальной помощи на основании социального контракта</t>
  </si>
  <si>
    <t>Предоставление в первоочередном порядке путевок на отдых и оздоровление детям участников СВО, внеочередное направление детей на медико-социальную реабилитацию в ГКУ "Базовый республиканский детский социально-реабилитационный центр "Радуга".</t>
  </si>
  <si>
    <t>Предоставление в прокат технических средств реабилитации для членов семей граждан, участвующих в специальной военной операции</t>
  </si>
  <si>
    <t>Организация профессионального обучения и дополнительного профессионального образования, содействие в поиске подходящей работы</t>
  </si>
  <si>
    <t>Оказание психологической помощи</t>
  </si>
  <si>
    <t>Предоставление участникам специальной военной операции и членам их семей права бесплатного посещения спортивных объектов</t>
  </si>
  <si>
    <t>Признание гражданина нуждающимся в социальном обслуживании</t>
  </si>
  <si>
    <t>Обеспечение бесплатного посещения культурно-массовых мероприятий, кружков и секций</t>
  </si>
  <si>
    <t>Компенсация расходов на оплату компенсацию расходов на оплату жилищно-коммунальных услуг участнику СВО являющегося ветераном боевых действий</t>
  </si>
  <si>
    <t>Внеочередное обслуживание в МФЦ</t>
  </si>
  <si>
    <t>Социальная поддержка детей-сирот и детей, оставшихся без попечения родителей, в КБР</t>
  </si>
  <si>
    <t>Ежемесячная денежная выплата в размере 25 000 рублей военнослужащим призванным военным комиссариатом Кабардино-Балкарской Республики на военную службу в соответствии с Указом Президента Российской Федерации от 21 сентября 2022 г. № 647 "Об объявлении частичной мобилизации в Российской Федерации" в период прохождения ими военной службы</t>
  </si>
  <si>
    <t>Предоставление субсидии на оплату жилого помещения и коммунальных услуг</t>
  </si>
  <si>
    <t>Академическое право на переход лиц, обучающихся по образовательным программам среднего профессионального и высшего образования, с платного обучения на бесплатное</t>
  </si>
  <si>
    <t>Право на прием на обучение по программам бакалавриата и программам специалитета в образовательные организации высшего образования за счет бюджетных ассигнований федерального бюджета, бюджетов субъектов Российской Федерации и местных бюджетов в пределах отдельной квоты</t>
  </si>
  <si>
    <t>Право на прием на обучение на подготовительные отделения в федеральные государственные образовательные организации высшего образования за счет бюджетных ассигнований федерального бюджета, бюджетов субъектов Российской Федерации и местных бюджетов в пределах отдельной квоты</t>
  </si>
  <si>
    <t>Предоставление набора социальных услуг</t>
  </si>
  <si>
    <t>Ежемесячная денежная выплата ветеранам боевых действий</t>
  </si>
  <si>
    <t>Ускоренная процедура оформления прав собственности</t>
  </si>
  <si>
    <t>Консультирование по вопросам в сфере земли и недвижимости, в том числе оформления прав собственности на недвижимость</t>
  </si>
  <si>
    <t>Оказание бесплатной юридической помощи участникам СВО, членам семей участников СВО (супруги, дети, родители)</t>
  </si>
  <si>
    <t>Предоставление ежемесячного пособия на ребенка военнослужащего, проходящего военную службу по призыву</t>
  </si>
  <si>
    <t>Одновременное получение двух пенсий (пенсия за выслугу лет или пенсия по инвалидности, предусмотренные законом Закон РФ от 12.02.1993 № 4468-1 и страховая пенсия по старости)</t>
  </si>
  <si>
    <t>Предоставление некоторых мер социальной поддержки в виде денежных выплат и компенсаций военнослужащим и членам их семей</t>
  </si>
  <si>
    <t>Предоставление компенсации в размере 50 процентов от уплаченной страховой премии по договору обязательного страхования гражданской ответственности владельцев транспортных средств</t>
  </si>
  <si>
    <t>Предоставление налоговых льгот по налогу на доходы физических лиц</t>
  </si>
  <si>
    <t>Одновременное получение пенсии по случаю потери кормильца и социальной пенсии по инвалидности детьми-инвалидам и неработающим инвалидам с детства, потерявшими родителей вследствие гибели в период прохождения военной службы или пребывании в добровольческом формировании, а также смерти вследствие военной травмы после увольнения с военной службы или пребывания в добровольческом формировании</t>
  </si>
  <si>
    <t>Транспортные налоговые льготы для ветеранов боевых действий</t>
  </si>
  <si>
    <t>Предоставление отсрочки уплаты арендной платы либо возможности расторжения договоров аренды федерального имущества, составляющего государственную казну Российской Федерации, без применения штрафных санкций физическим лицам, в том числе ИП или являющимся учредителем и руководителем юридического лица, призванным на военную службу по мобилизации в Вооруженные Силы Российской Федерации либо заключившим контракт о добровольном содействии в выполнении задач, возложенных на Вооруженные Силы Российской Федерации, на период прохождения военной службы (оказания добровольного содействия)</t>
  </si>
  <si>
    <t>Преимущество при вступлении в жилищные, жилищно-строительные, гаражные кооперативы, первоочередное право на приобретение садовых земельных участков или огородных земельных участков</t>
  </si>
  <si>
    <t>Предоставление налоговых льгот по налогу на имущество и землю</t>
  </si>
  <si>
    <t>Прием заявлений от участников СВО на получение услуг по медицинской реабилитации и санаторно-курортному лечению в центрах реабилитации СФР.</t>
  </si>
  <si>
    <t>Предоставление единовременного пособия беременной жене военнослужащего, проходящего военную службу по призыву</t>
  </si>
  <si>
    <t>Выдача, замена паспортов гражданина Российской Федерации, удостоверяющих личность гражданина Российской Федерации на территории Российской Федерации</t>
  </si>
  <si>
    <t>Государственная услуга по предоставлению сведений, содержащихся в Едином государственном реестре недвижимости</t>
  </si>
  <si>
    <t>Прием заявлений для размещения сведений о транспортном средстве, управляемом инвалидом, или транспортном средстве, перевозящем инвалида и (или) ребенка-инвалида, в федеральной государственной информационной системе «Единая централизованная цифровая платформа в социальной сфере»</t>
  </si>
  <si>
    <t>Прием заявления о перерасчете суммы ранее исчисленного транспортного налога, земельного налога, налога на имущество физических лиц, налога на доходы физических лиц.</t>
  </si>
  <si>
    <t>43</t>
  </si>
  <si>
    <t>44</t>
  </si>
  <si>
    <t>45</t>
  </si>
  <si>
    <t>46</t>
  </si>
  <si>
    <t>47</t>
  </si>
  <si>
    <t>48</t>
  </si>
  <si>
    <t>49</t>
  </si>
  <si>
    <t>50</t>
  </si>
  <si>
    <t>51</t>
  </si>
  <si>
    <t>Тип регистрации в Кабардино-Балкарской Республике</t>
  </si>
  <si>
    <t>Федеральная/ Региональная/ муниципальная</t>
  </si>
  <si>
    <t>наличие несовершеннолетних детей</t>
  </si>
  <si>
    <t xml:space="preserve">Есть дети, обучающиеся в образовательных организациях </t>
  </si>
  <si>
    <t xml:space="preserve"> имею право на санаторно-курортное лечение</t>
  </si>
  <si>
    <t>Получаю ежемесячную денежную выплату</t>
  </si>
  <si>
    <t>Обеспечение бесплатным питанием обучающихся муниципальных казенных общеобразовательных учреждений муниципальных районов КБР</t>
  </si>
  <si>
    <t>М</t>
  </si>
  <si>
    <t xml:space="preserve">Постоянная
Временная
Без регистрации </t>
  </si>
  <si>
    <t xml:space="preserve">Постоянная
</t>
  </si>
  <si>
    <t>Кем вы являетесь для  участника СВО?</t>
  </si>
  <si>
    <t>Родитель, супруг, ребенок</t>
  </si>
  <si>
    <t xml:space="preserve">Постоянная
Временная
 </t>
  </si>
  <si>
    <t xml:space="preserve">Требуется комплексное сопровождение филиала Фонда "Защитники Отечества" </t>
  </si>
  <si>
    <t xml:space="preserve">Постоянная
Временная
</t>
  </si>
  <si>
    <t>Размер дохода менее 1 МРОТ?</t>
  </si>
  <si>
    <t>Ребенок</t>
  </si>
  <si>
    <t xml:space="preserve">Постоянная
</t>
  </si>
  <si>
    <t>Супруг, ребенок</t>
  </si>
  <si>
    <t xml:space="preserve">РФ, иное
</t>
  </si>
  <si>
    <t>Постоянная
Временная
Без регистрации</t>
  </si>
  <si>
    <t>супруг</t>
  </si>
  <si>
    <t>Супруг</t>
  </si>
  <si>
    <t>да</t>
  </si>
  <si>
    <t>наличие имущества на правах аренды, собственности</t>
  </si>
  <si>
    <t xml:space="preserve">Хочу газификацировать жилое помещение (недвижимость), которое не подключено централизованно </t>
  </si>
  <si>
    <t>супруг, ребенок</t>
  </si>
  <si>
    <t>ребенок</t>
  </si>
  <si>
    <t xml:space="preserve">Единовременная материальная помощь военнослужащим, лицам, проходящим службу в войсках Росгвардии:
 при получении легкого увечья (ранения, травмы, контузии) - в размере 100000,0 рублей;
при получении тяжкого увечья (ранения, травмы, контузии) - в размере 300000,0 рублей;
при получении увечья (ранения, травмы, контузии), не входящего в перечень увечий (ранений, травм, контузий),  - в размере 100000 рублей.
</t>
  </si>
  <si>
    <t xml:space="preserve">Единовременная материальная помощь лицам, поступившим в созданные по решению органов государственной власти Российской Федерации добровольческие формирования);
при получении в результате легкого вреда здоровью - в размере 100000 рублей;
при получении в результате вреда здоровью средней тяжести - в размере 200000 рублей;
при получении в результате тяжкого вреда здоровью - в размере 300000 рублей
</t>
  </si>
  <si>
    <t xml:space="preserve">Единовременная материальная помощь сотрудникам расположенных на территории КБР следственных органов СК РФ (кроме военнослужащих), сотрудников, назначенных в порядке перевода из указанных органов в следственные органы СК РФ по Донецкой Народной Республике, Луганской Народной Республике, Запорожской области или Херсонской области (кроме военнослужащих), получивших на территориях Украины, Донецкой Народной Республики, Луганской Народной Республики, Запорожской области, Херсонской области 
при получении в результате легкого вреда здоровью - в размере 100000 рублей;
при получении в результате вреда здоровью средней тяжести - в размере 200000 рублей;
при получении в результате тяжкого вреда здоровью - в размере 300000 рублей
</t>
  </si>
  <si>
    <t xml:space="preserve">Единовременная материальная помощь членам семей погибших (умерших)
военнослужащих, лиц, проходивших службу в войсках национальной гвардии Российской Федерации
</t>
  </si>
  <si>
    <t>Организация на территории Кабардино-Балкарской Республики санаторно-курортного лечения</t>
  </si>
  <si>
    <t>№</t>
  </si>
  <si>
    <t>Перечень услуг доступных к получению участникам СВО и членам их семей</t>
  </si>
  <si>
    <t>Наличие имущества на правах аренды, собственности</t>
  </si>
  <si>
    <t xml:space="preserve"> Имею право на санаторно-курортное лечение</t>
  </si>
  <si>
    <t>Наличие несовершеннолетних детей</t>
  </si>
  <si>
    <t>В строке 2 под каждым вопросом в случае положительного ответа вписать "да". Если заявитель не подхоит под параметр то оставить поле пустым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</si>
</sst>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204"/>
      <scheme val="minor"/>
    </font>
    <font>
      <sz val="9"/>
      <color theme="1"/>
      <name val="Times New Roman"/>
      <family val="1"/>
      <charset val="204"/>
    </font>
    <font>
      <sz val="9"/>
      <name val="Times New Roman"/>
      <family val="1"/>
      <charset val="204"/>
    </font>
    <font>
      <sz val="9"/>
      <color theme="1"/>
      <name val="Calibri"/>
      <family val="2"/>
      <charset val="204"/>
      <scheme val="minor"/>
    </font>
    <font>
      <sz val="10"/>
      <color theme="1"/>
      <name val="Times New Roman"/>
      <family val="1"/>
      <charset val="204"/>
    </font>
    <font>
      <sz val="10"/>
      <name val="Times New Roman"/>
      <family val="1"/>
      <charset val="204"/>
    </font>
    <font>
      <sz val="11"/>
      <color theme="1"/>
      <name val="Times New Roman"/>
      <family val="1"/>
      <charset val="204"/>
    </font>
    <font>
      <sz val="12"/>
      <color theme="1"/>
      <name val="Times New Roman"/>
      <family val="1"/>
      <charset val="204"/>
    </font>
    <font>
      <sz val="12"/>
      <color rgb="FF000000"/>
      <name val="Times New Roman"/>
      <family val="1"/>
      <charset val="204"/>
    </font>
    <font>
      <sz val="14"/>
      <color theme="1"/>
      <name val="Calibri"/>
      <family val="2"/>
      <charset val="204"/>
      <scheme val="minor"/>
    </font>
    <font>
      <b/>
      <sz val="12"/>
      <color theme="1"/>
      <name val="Calibri"/>
      <family val="2"/>
      <charset val="204"/>
      <scheme val="minor"/>
    </font>
    <font>
      <sz val="12"/>
      <color theme="1"/>
      <name val="Calibri"/>
      <family val="2"/>
      <charset val="204"/>
      <scheme val="minor"/>
    </font>
    <font>
      <sz val="12"/>
      <name val="Times New Roman"/>
      <family val="1"/>
      <charset val="204"/>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wrapText="1"/>
    </xf>
    <xf numFmtId="0" fontId="3" fillId="0" borderId="0" xfId="0" applyFont="1"/>
    <xf numFmtId="0" fontId="3" fillId="0" borderId="0" xfId="0" applyFont="1" applyAlignment="1">
      <alignment horizontal="right"/>
    </xf>
    <xf numFmtId="0" fontId="2" fillId="0" borderId="1" xfId="0" applyFont="1" applyBorder="1" applyAlignment="1">
      <alignment horizontal="center" vertical="center" wrapText="1"/>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wrapText="1"/>
    </xf>
    <xf numFmtId="0" fontId="4" fillId="0" borderId="0" xfId="0" applyFont="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3" fillId="0" borderId="1" xfId="0" applyFont="1" applyBorder="1"/>
    <xf numFmtId="0" fontId="1" fillId="0" borderId="5" xfId="0" applyFont="1" applyBorder="1" applyAlignment="1">
      <alignment horizontal="center" vertical="center" wrapText="1"/>
    </xf>
    <xf numFmtId="0" fontId="5" fillId="0" borderId="2"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4" fillId="0" borderId="6" xfId="0" applyFont="1" applyBorder="1" applyAlignment="1">
      <alignment horizontal="center" vertical="center"/>
    </xf>
    <xf numFmtId="0" fontId="6" fillId="0" borderId="7" xfId="0" applyFont="1" applyBorder="1" applyAlignment="1">
      <alignment horizontal="left" vertical="top" wrapText="1"/>
    </xf>
    <xf numFmtId="0" fontId="6" fillId="0" borderId="1" xfId="0" applyFont="1" applyBorder="1" applyAlignment="1">
      <alignment horizontal="left" vertical="top" wrapText="1"/>
    </xf>
    <xf numFmtId="0" fontId="7" fillId="0" borderId="0" xfId="0" applyFont="1" applyAlignment="1">
      <alignment horizontal="left" vertical="top" wrapText="1"/>
    </xf>
    <xf numFmtId="0" fontId="7" fillId="0" borderId="1" xfId="0" applyFont="1" applyBorder="1" applyAlignment="1">
      <alignment horizontal="left" vertical="top" wrapText="1"/>
    </xf>
    <xf numFmtId="0" fontId="7" fillId="0" borderId="3" xfId="0" applyFont="1" applyBorder="1" applyAlignment="1">
      <alignment horizontal="left" vertical="top" wrapText="1"/>
    </xf>
    <xf numFmtId="0" fontId="6" fillId="0" borderId="1" xfId="0" applyFont="1" applyBorder="1" applyAlignment="1">
      <alignment horizontal="left" vertical="top"/>
    </xf>
    <xf numFmtId="49" fontId="1" fillId="0" borderId="1" xfId="0" applyNumberFormat="1" applyFont="1" applyBorder="1" applyAlignment="1">
      <alignment horizontal="center" wrapText="1"/>
    </xf>
    <xf numFmtId="0" fontId="8" fillId="0" borderId="1" xfId="0" applyFont="1" applyBorder="1" applyAlignment="1">
      <alignment wrapText="1"/>
    </xf>
    <xf numFmtId="0" fontId="7" fillId="0" borderId="1" xfId="0" applyFont="1" applyBorder="1" applyAlignment="1">
      <alignment wrapText="1"/>
    </xf>
    <xf numFmtId="0" fontId="7" fillId="0" borderId="1" xfId="0" applyFont="1" applyBorder="1" applyAlignment="1">
      <alignment vertical="top" wrapText="1"/>
    </xf>
    <xf numFmtId="0" fontId="0" fillId="0" borderId="0" xfId="0" applyAlignment="1">
      <alignment wrapText="1"/>
    </xf>
    <xf numFmtId="0" fontId="9" fillId="0" borderId="0" xfId="0" applyFont="1"/>
    <xf numFmtId="0" fontId="9" fillId="0" borderId="0" xfId="0" applyFont="1" applyAlignment="1">
      <alignment wrapText="1"/>
    </xf>
    <xf numFmtId="0" fontId="0" fillId="0" borderId="0" xfId="0" applyAlignment="1">
      <alignment horizontal="center"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0" xfId="0" applyFont="1"/>
    <xf numFmtId="0" fontId="11"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Alignment="1">
      <alignment horizontal="center"/>
    </xf>
    <xf numFmtId="0" fontId="11" fillId="0" borderId="8" xfId="0" applyFont="1" applyBorder="1" applyAlignment="1">
      <alignment horizontal="center"/>
    </xf>
    <xf numFmtId="0" fontId="9" fillId="0" borderId="0" xfId="0" applyFont="1" applyAlignment="1">
      <alignment horizontal="center" vertical="center" wrapText="1"/>
    </xf>
    <xf numFmtId="0" fontId="0" fillId="0" borderId="0" xfId="0" applyAlignment="1">
      <alignment vertical="top" wrapText="1"/>
    </xf>
    <xf numFmtId="0" fontId="10" fillId="0" borderId="0" xfId="0" applyFont="1" applyAlignment="1">
      <alignment wrapText="1"/>
    </xf>
    <xf numFmtId="0" fontId="11" fillId="0" borderId="0" xfId="0" applyFont="1" applyAlignment="1">
      <alignment wrapText="1"/>
    </xf>
    <xf numFmtId="0" fontId="11" fillId="0" borderId="0" xfId="0" applyFont="1" applyAlignment="1">
      <alignment horizontal="center" wrapText="1"/>
    </xf>
  </cellXfs>
  <cellStyles count="1">
    <cellStyle name="Обычный" xfId="0" builtinId="0"/>
  </cellStyles>
  <dxfs count="3">
    <dxf>
      <border>
        <left style="thin">
          <color auto="1"/>
        </left>
        <right style="thin">
          <color auto="1"/>
        </right>
        <top style="thin">
          <color auto="1"/>
        </top>
        <bottom style="thin">
          <color auto="1"/>
        </bottom>
        <vertical/>
        <horizontal/>
      </border>
    </dxf>
    <dxf>
      <font>
        <sz val="11"/>
        <color rgb="FF9C0006"/>
        <name val="Aptos Narrow"/>
      </font>
      <fill>
        <patternFill>
          <bgColor rgb="FFFFC7CE"/>
        </patternFill>
      </fill>
    </dxf>
    <dxf>
      <font>
        <sz val="11"/>
        <color rgb="FF9C0006"/>
        <name val="Aptos Narrow"/>
      </font>
      <fill>
        <patternFill>
          <bgColor rgb="FFFFC7CE"/>
        </patternFill>
      </fill>
    </dxf>
  </dxfs>
  <tableStyles count="0" defaultTableStyle="TableStyleMedium2" defaultPivotStyle="PivotStyleLight16"/>
  <colors>
    <mruColors>
      <color rgb="FFCC99FF"/>
      <color rgb="FFEAAD00"/>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zoomScale="90" zoomScaleNormal="90" workbookViewId="0">
      <pane xSplit="2" ySplit="2" topLeftCell="C3" activePane="bottomRight" state="frozen"/>
      <selection pane="topRight" activeCell="C1" sqref="C1"/>
      <selection pane="bottomLeft" activeCell="A4" sqref="A4"/>
      <selection pane="bottomRight" activeCell="B3" sqref="B3"/>
    </sheetView>
  </sheetViews>
  <sheetFormatPr defaultColWidth="9.140625" defaultRowHeight="12.75" x14ac:dyDescent="0.2"/>
  <cols>
    <col min="1" max="1" width="14.28515625" style="7" customWidth="1"/>
    <col min="2" max="2" width="57" style="2" customWidth="1"/>
    <col min="3" max="3" width="12.42578125" style="5" customWidth="1"/>
    <col min="4" max="4" width="11.7109375" style="3" customWidth="1"/>
    <col min="5" max="5" width="10.85546875" style="2" customWidth="1"/>
    <col min="6" max="6" width="13.140625" style="2" customWidth="1"/>
    <col min="7" max="7" width="12.7109375" style="2" customWidth="1"/>
    <col min="8" max="8" width="11.140625" style="2" customWidth="1"/>
    <col min="9" max="9" width="12" style="2" customWidth="1"/>
    <col min="10" max="10" width="16.5703125" style="2" customWidth="1"/>
    <col min="11" max="11" width="12.85546875" style="2" customWidth="1"/>
    <col min="12" max="12" width="12.5703125" style="2" customWidth="1"/>
    <col min="13" max="13" width="11.85546875" style="2" customWidth="1"/>
    <col min="14" max="14" width="13.28515625" style="2" customWidth="1"/>
    <col min="15" max="15" width="17.28515625" style="2" customWidth="1"/>
    <col min="16" max="16" width="11.7109375" style="2" customWidth="1"/>
    <col min="17" max="17" width="16.140625" style="2" customWidth="1"/>
    <col min="18" max="18" width="12.140625" style="2" customWidth="1"/>
    <col min="19" max="19" width="14.5703125" style="2" customWidth="1"/>
    <col min="20" max="20" width="13" style="2" customWidth="1"/>
    <col min="21" max="21" width="9.5703125" style="2" customWidth="1"/>
    <col min="22" max="23" width="14.5703125" style="2" customWidth="1"/>
    <col min="24" max="24" width="11.42578125" style="2" customWidth="1"/>
    <col min="25" max="16384" width="9.140625" style="2"/>
  </cols>
  <sheetData>
    <row r="1" spans="1:25" ht="84" x14ac:dyDescent="0.2">
      <c r="A1" s="8" t="s">
        <v>15</v>
      </c>
      <c r="B1" s="1" t="s">
        <v>0</v>
      </c>
      <c r="C1" s="1" t="s">
        <v>86</v>
      </c>
      <c r="D1" s="1" t="s">
        <v>23</v>
      </c>
      <c r="E1" s="1" t="s">
        <v>85</v>
      </c>
      <c r="F1" s="1" t="s">
        <v>20</v>
      </c>
      <c r="G1" s="1" t="s">
        <v>14</v>
      </c>
      <c r="H1" s="4" t="s">
        <v>9</v>
      </c>
      <c r="I1" s="15" t="s">
        <v>98</v>
      </c>
      <c r="J1" s="16" t="s">
        <v>24</v>
      </c>
      <c r="K1" s="16" t="s">
        <v>87</v>
      </c>
      <c r="L1" s="16" t="s">
        <v>89</v>
      </c>
      <c r="M1" s="16" t="s">
        <v>90</v>
      </c>
      <c r="N1" s="15" t="s">
        <v>21</v>
      </c>
      <c r="O1" s="15" t="s">
        <v>110</v>
      </c>
      <c r="P1" s="15" t="s">
        <v>11</v>
      </c>
      <c r="Q1" s="15" t="s">
        <v>88</v>
      </c>
      <c r="R1" s="4" t="s">
        <v>17</v>
      </c>
      <c r="S1" s="4" t="s">
        <v>18</v>
      </c>
      <c r="T1" s="4" t="s">
        <v>12</v>
      </c>
      <c r="U1" s="4" t="s">
        <v>13</v>
      </c>
      <c r="V1" s="11" t="s">
        <v>109</v>
      </c>
      <c r="W1" s="11" t="s">
        <v>95</v>
      </c>
      <c r="X1" s="11" t="s">
        <v>100</v>
      </c>
    </row>
    <row r="2" spans="1:25" ht="48" x14ac:dyDescent="0.2">
      <c r="A2" s="8"/>
      <c r="B2" s="1" t="s">
        <v>4</v>
      </c>
      <c r="C2" s="1"/>
      <c r="D2" s="1" t="s">
        <v>5</v>
      </c>
      <c r="E2" s="1" t="s">
        <v>93</v>
      </c>
      <c r="F2" s="1" t="s">
        <v>16</v>
      </c>
      <c r="G2" s="1" t="s">
        <v>16</v>
      </c>
      <c r="H2" s="1" t="s">
        <v>16</v>
      </c>
      <c r="I2" s="1" t="s">
        <v>16</v>
      </c>
      <c r="J2" s="1" t="s">
        <v>16</v>
      </c>
      <c r="K2" s="1" t="s">
        <v>16</v>
      </c>
      <c r="L2" s="1" t="s">
        <v>16</v>
      </c>
      <c r="M2" s="1" t="s">
        <v>16</v>
      </c>
      <c r="N2" s="1" t="s">
        <v>16</v>
      </c>
      <c r="O2" s="1" t="s">
        <v>16</v>
      </c>
      <c r="P2" s="1" t="s">
        <v>16</v>
      </c>
      <c r="Q2" s="1" t="s">
        <v>16</v>
      </c>
      <c r="R2" s="1" t="s">
        <v>16</v>
      </c>
      <c r="S2" s="1" t="s">
        <v>16</v>
      </c>
      <c r="T2" s="1" t="s">
        <v>16</v>
      </c>
      <c r="U2" s="1" t="s">
        <v>16</v>
      </c>
      <c r="V2" s="1" t="s">
        <v>16</v>
      </c>
      <c r="W2" s="1" t="s">
        <v>96</v>
      </c>
      <c r="X2" s="1" t="s">
        <v>16</v>
      </c>
    </row>
    <row r="3" spans="1:25" ht="60" x14ac:dyDescent="0.2">
      <c r="A3" s="8">
        <v>1</v>
      </c>
      <c r="B3" s="18" t="s">
        <v>25</v>
      </c>
      <c r="C3" s="1" t="s">
        <v>92</v>
      </c>
      <c r="D3" s="1" t="s">
        <v>6</v>
      </c>
      <c r="E3" s="1" t="s">
        <v>8</v>
      </c>
      <c r="F3" s="1" t="s">
        <v>10</v>
      </c>
      <c r="G3" s="1" t="s">
        <v>10</v>
      </c>
      <c r="H3" s="1" t="s">
        <v>10</v>
      </c>
      <c r="I3" s="1"/>
      <c r="J3" s="1"/>
      <c r="K3" s="1" t="s">
        <v>10</v>
      </c>
      <c r="L3" s="1"/>
      <c r="M3" s="1"/>
      <c r="N3" s="1"/>
      <c r="O3" s="1"/>
      <c r="P3" s="1" t="s">
        <v>10</v>
      </c>
      <c r="Q3" s="1"/>
      <c r="R3" s="1" t="s">
        <v>10</v>
      </c>
      <c r="S3" s="1"/>
      <c r="T3" s="1"/>
      <c r="U3" s="1"/>
      <c r="V3" s="1"/>
      <c r="W3" s="1"/>
      <c r="X3" s="1"/>
    </row>
    <row r="4" spans="1:25" ht="68.25" customHeight="1" x14ac:dyDescent="0.2">
      <c r="A4" s="8">
        <v>2</v>
      </c>
      <c r="B4" s="18" t="s">
        <v>26</v>
      </c>
      <c r="C4" s="1" t="s">
        <v>92</v>
      </c>
      <c r="D4" s="1" t="s">
        <v>6</v>
      </c>
      <c r="E4" s="1" t="s">
        <v>8</v>
      </c>
      <c r="F4" s="1" t="s">
        <v>10</v>
      </c>
      <c r="G4" s="1" t="s">
        <v>10</v>
      </c>
      <c r="H4" s="1" t="s">
        <v>10</v>
      </c>
      <c r="I4" s="1"/>
      <c r="J4" s="1"/>
      <c r="K4" s="1" t="s">
        <v>10</v>
      </c>
      <c r="L4" s="1"/>
      <c r="M4" s="1"/>
      <c r="N4" s="1"/>
      <c r="O4" s="1"/>
      <c r="P4" s="1" t="s">
        <v>10</v>
      </c>
      <c r="Q4" s="1"/>
      <c r="R4" s="1" t="s">
        <v>10</v>
      </c>
      <c r="S4" s="1"/>
      <c r="T4" s="1"/>
      <c r="U4" s="1"/>
      <c r="V4" s="1"/>
      <c r="W4" s="1"/>
      <c r="X4" s="1"/>
    </row>
    <row r="5" spans="1:25" ht="54" customHeight="1" x14ac:dyDescent="0.2">
      <c r="A5" s="8">
        <v>3</v>
      </c>
      <c r="B5" s="18" t="s">
        <v>27</v>
      </c>
      <c r="C5" s="1" t="s">
        <v>92</v>
      </c>
      <c r="D5" s="1" t="s">
        <v>6</v>
      </c>
      <c r="E5" s="1" t="s">
        <v>8</v>
      </c>
      <c r="F5" s="1" t="s">
        <v>10</v>
      </c>
      <c r="G5" s="1" t="s">
        <v>10</v>
      </c>
      <c r="H5" s="1"/>
      <c r="I5" s="1"/>
      <c r="J5" s="1"/>
      <c r="K5" s="1"/>
      <c r="L5" s="1"/>
      <c r="M5" s="1"/>
      <c r="N5" s="1"/>
      <c r="O5" s="1"/>
      <c r="P5" s="1"/>
      <c r="Q5" s="1"/>
      <c r="R5" s="1"/>
      <c r="S5" s="1"/>
      <c r="T5" s="1"/>
      <c r="U5" s="1"/>
      <c r="V5" s="1" t="s">
        <v>10</v>
      </c>
      <c r="W5" s="1"/>
      <c r="X5" s="1"/>
    </row>
    <row r="6" spans="1:25" ht="45" x14ac:dyDescent="0.2">
      <c r="A6" s="8">
        <v>4</v>
      </c>
      <c r="B6" s="18" t="s">
        <v>91</v>
      </c>
      <c r="C6" s="1" t="s">
        <v>92</v>
      </c>
      <c r="D6" s="1" t="s">
        <v>6</v>
      </c>
      <c r="E6" s="1" t="s">
        <v>8</v>
      </c>
      <c r="F6" s="1" t="s">
        <v>10</v>
      </c>
      <c r="G6" s="1" t="s">
        <v>10</v>
      </c>
      <c r="H6" s="1"/>
      <c r="I6" s="1"/>
      <c r="J6" s="1"/>
      <c r="K6" s="1" t="s">
        <v>10</v>
      </c>
      <c r="L6" s="1"/>
      <c r="M6" s="1"/>
      <c r="N6" s="1"/>
      <c r="O6" s="1"/>
      <c r="P6" s="1" t="s">
        <v>10</v>
      </c>
      <c r="Q6" s="1" t="s">
        <v>10</v>
      </c>
      <c r="R6" s="1"/>
      <c r="S6" s="1"/>
      <c r="T6" s="1"/>
      <c r="U6" s="1"/>
      <c r="V6" s="1"/>
      <c r="W6" s="1"/>
      <c r="X6" s="1"/>
    </row>
    <row r="7" spans="1:25" ht="51" customHeight="1" x14ac:dyDescent="0.2">
      <c r="A7" s="8">
        <v>5</v>
      </c>
      <c r="B7" s="18" t="s">
        <v>28</v>
      </c>
      <c r="C7" s="1" t="s">
        <v>92</v>
      </c>
      <c r="D7" s="1" t="s">
        <v>6</v>
      </c>
      <c r="E7" s="1" t="s">
        <v>8</v>
      </c>
      <c r="F7" s="1" t="s">
        <v>10</v>
      </c>
      <c r="G7" s="1" t="s">
        <v>10</v>
      </c>
      <c r="H7" s="1"/>
      <c r="I7" s="1"/>
      <c r="J7" s="1"/>
      <c r="K7" s="1" t="s">
        <v>10</v>
      </c>
      <c r="L7" s="1"/>
      <c r="M7" s="1"/>
      <c r="N7" s="1"/>
      <c r="O7" s="1"/>
      <c r="P7" s="1" t="s">
        <v>10</v>
      </c>
      <c r="Q7" s="1" t="s">
        <v>10</v>
      </c>
      <c r="R7" s="1"/>
      <c r="S7" s="1"/>
      <c r="T7" s="1"/>
      <c r="U7" s="1"/>
      <c r="V7" s="1"/>
      <c r="W7" s="1"/>
      <c r="X7" s="1"/>
    </row>
    <row r="8" spans="1:25" ht="60" x14ac:dyDescent="0.2">
      <c r="A8" s="8">
        <v>6</v>
      </c>
      <c r="B8" s="18" t="s">
        <v>29</v>
      </c>
      <c r="C8" s="1" t="s">
        <v>92</v>
      </c>
      <c r="D8" s="1" t="s">
        <v>6</v>
      </c>
      <c r="E8" s="1" t="s">
        <v>94</v>
      </c>
      <c r="F8" s="1" t="s">
        <v>10</v>
      </c>
      <c r="G8" s="1" t="s">
        <v>10</v>
      </c>
      <c r="H8" s="1"/>
      <c r="I8" s="1"/>
      <c r="J8" s="1"/>
      <c r="K8" s="1"/>
      <c r="L8" s="1"/>
      <c r="M8" s="1"/>
      <c r="N8" s="1"/>
      <c r="O8" s="1"/>
      <c r="P8" s="1"/>
      <c r="Q8" s="1"/>
      <c r="R8" s="1"/>
      <c r="S8" s="1"/>
      <c r="T8" s="1"/>
      <c r="U8" s="1"/>
      <c r="V8" s="1"/>
      <c r="W8" s="1"/>
      <c r="X8" s="1"/>
    </row>
    <row r="9" spans="1:25" ht="144.75" customHeight="1" x14ac:dyDescent="0.2">
      <c r="A9" s="8">
        <v>7</v>
      </c>
      <c r="B9" s="18" t="s">
        <v>30</v>
      </c>
      <c r="C9" s="1" t="s">
        <v>92</v>
      </c>
      <c r="D9" s="1" t="s">
        <v>5</v>
      </c>
      <c r="E9" s="1" t="s">
        <v>8</v>
      </c>
      <c r="F9" s="1" t="s">
        <v>10</v>
      </c>
      <c r="G9" s="1" t="s">
        <v>10</v>
      </c>
      <c r="H9" s="1"/>
      <c r="I9" s="1"/>
      <c r="J9" s="1"/>
      <c r="K9" s="1"/>
      <c r="L9" s="1"/>
      <c r="M9" s="1"/>
      <c r="N9" s="1"/>
      <c r="O9" s="1"/>
      <c r="P9" s="1"/>
      <c r="Q9" s="1"/>
      <c r="R9" s="1"/>
      <c r="S9" s="1"/>
      <c r="T9" s="1"/>
      <c r="U9" s="1"/>
      <c r="V9" s="1" t="s">
        <v>108</v>
      </c>
      <c r="W9" s="1"/>
      <c r="X9" s="1"/>
    </row>
    <row r="10" spans="1:25" ht="90" x14ac:dyDescent="0.2">
      <c r="A10" s="9">
        <v>8</v>
      </c>
      <c r="B10" s="18" t="s">
        <v>31</v>
      </c>
      <c r="C10" s="1" t="s">
        <v>92</v>
      </c>
      <c r="D10" s="1" t="s">
        <v>5</v>
      </c>
      <c r="E10" s="1" t="s">
        <v>8</v>
      </c>
      <c r="F10" s="1"/>
      <c r="G10" s="1" t="s">
        <v>10</v>
      </c>
      <c r="H10" s="1"/>
      <c r="I10" s="1"/>
      <c r="J10" s="1"/>
      <c r="K10" s="1" t="s">
        <v>10</v>
      </c>
      <c r="L10" s="1"/>
      <c r="M10" s="1"/>
      <c r="N10" s="1"/>
      <c r="O10" s="1"/>
      <c r="P10" s="1" t="s">
        <v>10</v>
      </c>
      <c r="Q10" s="1" t="s">
        <v>10</v>
      </c>
      <c r="R10" s="1"/>
      <c r="S10" s="1"/>
      <c r="T10" s="1"/>
      <c r="U10" s="1"/>
      <c r="V10" s="1"/>
      <c r="W10" s="1" t="s">
        <v>96</v>
      </c>
      <c r="X10" s="1"/>
    </row>
    <row r="11" spans="1:25" ht="30" x14ac:dyDescent="0.2">
      <c r="A11" s="8">
        <v>9</v>
      </c>
      <c r="B11" s="18" t="s">
        <v>32</v>
      </c>
      <c r="C11" s="1" t="s">
        <v>92</v>
      </c>
      <c r="D11" s="1" t="s">
        <v>6</v>
      </c>
      <c r="E11" s="1" t="s">
        <v>7</v>
      </c>
      <c r="F11" s="1" t="s">
        <v>10</v>
      </c>
      <c r="G11" s="1" t="s">
        <v>10</v>
      </c>
      <c r="H11" s="1"/>
      <c r="I11" s="1"/>
      <c r="J11" s="1"/>
      <c r="K11" s="1" t="s">
        <v>10</v>
      </c>
      <c r="L11" s="1" t="s">
        <v>10</v>
      </c>
      <c r="M11" s="1"/>
      <c r="N11" s="1"/>
      <c r="O11" s="1"/>
      <c r="P11" s="1" t="s">
        <v>10</v>
      </c>
      <c r="Q11" s="1"/>
      <c r="R11" s="1"/>
      <c r="S11" s="1"/>
      <c r="T11" s="1"/>
      <c r="U11" s="1"/>
      <c r="V11" s="1"/>
      <c r="W11" s="1" t="s">
        <v>10</v>
      </c>
      <c r="X11" s="1"/>
    </row>
    <row r="12" spans="1:25" ht="30" x14ac:dyDescent="0.2">
      <c r="A12" s="9">
        <v>10</v>
      </c>
      <c r="B12" s="19" t="s">
        <v>33</v>
      </c>
      <c r="C12" s="1" t="s">
        <v>92</v>
      </c>
      <c r="D12" s="1" t="s">
        <v>6</v>
      </c>
      <c r="E12" s="1" t="s">
        <v>7</v>
      </c>
      <c r="F12" s="1" t="s">
        <v>10</v>
      </c>
      <c r="G12" s="1" t="s">
        <v>10</v>
      </c>
      <c r="H12" s="1"/>
      <c r="I12" s="1"/>
      <c r="J12" s="1"/>
      <c r="K12" s="1"/>
      <c r="L12" s="1"/>
      <c r="M12" s="1"/>
      <c r="N12" s="1"/>
      <c r="O12" s="1"/>
      <c r="P12" s="1"/>
      <c r="Q12" s="1"/>
      <c r="R12" s="1"/>
      <c r="S12" s="1"/>
      <c r="T12" s="1"/>
      <c r="U12" s="1"/>
      <c r="V12" s="1" t="s">
        <v>10</v>
      </c>
      <c r="W12" s="1"/>
      <c r="X12" s="1"/>
    </row>
    <row r="13" spans="1:25" ht="30" x14ac:dyDescent="0.2">
      <c r="A13" s="9">
        <v>11</v>
      </c>
      <c r="B13" s="19" t="s">
        <v>34</v>
      </c>
      <c r="C13" s="1" t="s">
        <v>92</v>
      </c>
      <c r="D13" s="1" t="s">
        <v>6</v>
      </c>
      <c r="E13" s="1" t="s">
        <v>8</v>
      </c>
      <c r="F13" s="1" t="s">
        <v>10</v>
      </c>
      <c r="G13" s="1" t="s">
        <v>10</v>
      </c>
      <c r="H13" s="1"/>
      <c r="I13" s="1"/>
      <c r="J13" s="1"/>
      <c r="K13" s="1"/>
      <c r="L13" s="1"/>
      <c r="M13" s="1"/>
      <c r="N13" s="1"/>
      <c r="O13" s="1"/>
      <c r="P13" s="1"/>
      <c r="Q13" s="1"/>
      <c r="R13" s="1"/>
      <c r="S13" s="1"/>
      <c r="T13" s="1"/>
      <c r="U13" s="1"/>
      <c r="V13" s="1" t="s">
        <v>10</v>
      </c>
      <c r="W13" s="1"/>
      <c r="X13" s="1"/>
    </row>
    <row r="14" spans="1:25" ht="30" x14ac:dyDescent="0.2">
      <c r="A14" s="9">
        <v>12</v>
      </c>
      <c r="B14" s="19" t="s">
        <v>35</v>
      </c>
      <c r="C14" s="1" t="s">
        <v>92</v>
      </c>
      <c r="D14" s="1" t="s">
        <v>6</v>
      </c>
      <c r="E14" s="1" t="s">
        <v>8</v>
      </c>
      <c r="F14" s="1" t="s">
        <v>10</v>
      </c>
      <c r="G14" s="1" t="s">
        <v>10</v>
      </c>
      <c r="H14" s="1"/>
      <c r="I14" s="1"/>
      <c r="J14" s="1"/>
      <c r="K14" s="1"/>
      <c r="L14" s="1"/>
      <c r="M14" s="1"/>
      <c r="N14" s="1"/>
      <c r="O14" s="1"/>
      <c r="P14" s="1"/>
      <c r="Q14" s="1"/>
      <c r="R14" s="1"/>
      <c r="S14" s="1"/>
      <c r="T14" s="1"/>
      <c r="U14" s="1"/>
      <c r="V14" s="1" t="s">
        <v>10</v>
      </c>
      <c r="W14" s="1"/>
      <c r="X14" s="1"/>
    </row>
    <row r="15" spans="1:25" ht="63" x14ac:dyDescent="0.2">
      <c r="A15" s="9">
        <v>13</v>
      </c>
      <c r="B15" s="20" t="s">
        <v>36</v>
      </c>
      <c r="C15" s="1" t="s">
        <v>2</v>
      </c>
      <c r="D15" s="1" t="s">
        <v>5</v>
      </c>
      <c r="E15" s="1" t="s">
        <v>8</v>
      </c>
      <c r="F15" s="1" t="s">
        <v>10</v>
      </c>
      <c r="G15" s="1" t="s">
        <v>10</v>
      </c>
      <c r="H15" s="1" t="s">
        <v>10</v>
      </c>
      <c r="I15" s="1"/>
      <c r="J15" s="1"/>
      <c r="K15" s="1" t="s">
        <v>10</v>
      </c>
      <c r="L15" s="1"/>
      <c r="M15" s="1"/>
      <c r="N15" s="1"/>
      <c r="O15" s="1"/>
      <c r="P15" s="1" t="s">
        <v>10</v>
      </c>
      <c r="Q15" s="1" t="s">
        <v>10</v>
      </c>
      <c r="R15" s="1"/>
      <c r="S15" s="1"/>
      <c r="T15" s="1"/>
      <c r="U15" s="1"/>
      <c r="V15" s="1"/>
      <c r="W15" s="1" t="s">
        <v>112</v>
      </c>
      <c r="X15" s="1"/>
    </row>
    <row r="16" spans="1:25" customFormat="1" ht="75" x14ac:dyDescent="0.25">
      <c r="A16" s="9">
        <v>14</v>
      </c>
      <c r="B16" s="19" t="s">
        <v>116</v>
      </c>
      <c r="C16" s="1" t="s">
        <v>2</v>
      </c>
      <c r="D16" s="1" t="s">
        <v>19</v>
      </c>
      <c r="E16" s="1" t="s">
        <v>93</v>
      </c>
      <c r="F16" s="1" t="s">
        <v>10</v>
      </c>
      <c r="G16" s="1" t="s">
        <v>10</v>
      </c>
      <c r="H16" s="1"/>
      <c r="I16" s="1"/>
      <c r="J16" s="1"/>
      <c r="K16" s="1" t="s">
        <v>10</v>
      </c>
      <c r="L16" s="1"/>
      <c r="M16" s="1"/>
      <c r="N16" s="1"/>
      <c r="O16" s="1"/>
      <c r="P16" s="1"/>
      <c r="Q16" s="1"/>
      <c r="R16" s="1"/>
      <c r="S16" s="1"/>
      <c r="T16" s="1"/>
      <c r="U16" s="1"/>
      <c r="V16" s="1"/>
      <c r="W16" s="1" t="s">
        <v>96</v>
      </c>
      <c r="X16" s="1"/>
      <c r="Y16" s="2"/>
    </row>
    <row r="17" spans="1:24" ht="36" x14ac:dyDescent="0.2">
      <c r="A17" s="9">
        <v>15</v>
      </c>
      <c r="B17" s="19" t="s">
        <v>117</v>
      </c>
      <c r="C17" s="1" t="s">
        <v>2</v>
      </c>
      <c r="D17" s="1" t="s">
        <v>5</v>
      </c>
      <c r="E17" s="1" t="s">
        <v>97</v>
      </c>
      <c r="F17" s="1" t="s">
        <v>10</v>
      </c>
      <c r="G17" s="1" t="s">
        <v>10</v>
      </c>
      <c r="H17" s="1" t="s">
        <v>10</v>
      </c>
      <c r="I17" s="1" t="s">
        <v>10</v>
      </c>
      <c r="J17" s="1"/>
      <c r="K17" s="1"/>
      <c r="L17" s="1" t="s">
        <v>10</v>
      </c>
      <c r="M17" s="1" t="s">
        <v>10</v>
      </c>
      <c r="N17" s="1"/>
      <c r="O17" s="1"/>
      <c r="P17" s="1"/>
      <c r="Q17" s="1"/>
      <c r="R17" s="1" t="s">
        <v>10</v>
      </c>
      <c r="S17" s="1"/>
      <c r="T17" s="1"/>
      <c r="U17" s="1" t="s">
        <v>10</v>
      </c>
      <c r="V17" s="1"/>
      <c r="W17" s="1"/>
      <c r="X17" s="1"/>
    </row>
    <row r="18" spans="1:24" ht="150" x14ac:dyDescent="0.2">
      <c r="A18" s="9">
        <v>16</v>
      </c>
      <c r="B18" s="19" t="s">
        <v>113</v>
      </c>
      <c r="C18" s="1" t="s">
        <v>2</v>
      </c>
      <c r="D18" s="1" t="s">
        <v>5</v>
      </c>
      <c r="E18" s="1" t="s">
        <v>8</v>
      </c>
      <c r="F18" s="1" t="s">
        <v>10</v>
      </c>
      <c r="G18" s="1" t="s">
        <v>10</v>
      </c>
      <c r="H18" s="1"/>
      <c r="I18" s="1"/>
      <c r="J18" s="1"/>
      <c r="K18" s="1"/>
      <c r="L18" s="1"/>
      <c r="M18" s="1"/>
      <c r="N18" s="1"/>
      <c r="O18" s="1"/>
      <c r="P18" s="1"/>
      <c r="Q18" s="1"/>
      <c r="R18" s="1"/>
      <c r="S18" s="1"/>
      <c r="T18" s="1"/>
      <c r="U18" s="1" t="s">
        <v>10</v>
      </c>
      <c r="V18" s="1"/>
      <c r="W18" s="1"/>
      <c r="X18" s="1"/>
    </row>
    <row r="19" spans="1:24" ht="150" x14ac:dyDescent="0.2">
      <c r="A19" s="9">
        <v>17</v>
      </c>
      <c r="B19" s="19" t="s">
        <v>114</v>
      </c>
      <c r="C19" s="1" t="s">
        <v>2</v>
      </c>
      <c r="D19" s="1" t="s">
        <v>5</v>
      </c>
      <c r="E19" s="1" t="s">
        <v>8</v>
      </c>
      <c r="F19" s="1" t="s">
        <v>10</v>
      </c>
      <c r="G19" s="1" t="s">
        <v>10</v>
      </c>
      <c r="H19" s="1"/>
      <c r="I19" s="1"/>
      <c r="J19" s="1"/>
      <c r="K19" s="1"/>
      <c r="L19" s="1"/>
      <c r="M19" s="1"/>
      <c r="N19" s="1"/>
      <c r="O19" s="1"/>
      <c r="P19" s="1"/>
      <c r="Q19" s="1"/>
      <c r="R19" s="1"/>
      <c r="S19" s="1"/>
      <c r="T19" s="1"/>
      <c r="U19" s="1" t="s">
        <v>10</v>
      </c>
      <c r="V19" s="1"/>
      <c r="W19" s="1"/>
      <c r="X19" s="1"/>
    </row>
    <row r="20" spans="1:24" ht="255" x14ac:dyDescent="0.2">
      <c r="A20" s="9">
        <v>18</v>
      </c>
      <c r="B20" s="19" t="s">
        <v>115</v>
      </c>
      <c r="C20" s="1" t="s">
        <v>2</v>
      </c>
      <c r="D20" s="1" t="s">
        <v>5</v>
      </c>
      <c r="E20" s="1" t="s">
        <v>97</v>
      </c>
      <c r="F20" s="1" t="s">
        <v>10</v>
      </c>
      <c r="G20" s="1" t="s">
        <v>10</v>
      </c>
      <c r="H20" s="1"/>
      <c r="I20" s="1"/>
      <c r="J20" s="1"/>
      <c r="K20" s="1"/>
      <c r="L20" s="1"/>
      <c r="M20" s="1"/>
      <c r="N20" s="1"/>
      <c r="O20" s="1"/>
      <c r="P20" s="1"/>
      <c r="Q20" s="1"/>
      <c r="R20" s="1"/>
      <c r="S20" s="1"/>
      <c r="T20" s="1"/>
      <c r="U20" s="1" t="s">
        <v>10</v>
      </c>
      <c r="V20" s="1"/>
      <c r="W20" s="1"/>
      <c r="X20" s="1"/>
    </row>
    <row r="21" spans="1:24" ht="48" x14ac:dyDescent="0.2">
      <c r="A21" s="9">
        <v>19</v>
      </c>
      <c r="B21" s="19" t="s">
        <v>37</v>
      </c>
      <c r="C21" s="1" t="s">
        <v>2</v>
      </c>
      <c r="D21" s="1" t="s">
        <v>6</v>
      </c>
      <c r="E21" s="1" t="s">
        <v>93</v>
      </c>
      <c r="F21" s="1" t="s">
        <v>10</v>
      </c>
      <c r="G21" s="1" t="s">
        <v>10</v>
      </c>
      <c r="H21" s="1" t="s">
        <v>10</v>
      </c>
      <c r="I21" s="1" t="s">
        <v>10</v>
      </c>
      <c r="J21" s="1"/>
      <c r="K21" s="1"/>
      <c r="L21" s="1"/>
      <c r="M21" s="1"/>
      <c r="N21" s="1"/>
      <c r="O21" s="1"/>
      <c r="P21" s="1"/>
      <c r="Q21" s="1"/>
      <c r="R21" s="1"/>
      <c r="S21" s="1"/>
      <c r="T21" s="1"/>
      <c r="U21" s="1"/>
      <c r="V21" s="1"/>
      <c r="W21" s="1"/>
      <c r="X21" s="1"/>
    </row>
    <row r="22" spans="1:24" ht="48.75" customHeight="1" x14ac:dyDescent="0.2">
      <c r="A22" s="8">
        <v>20</v>
      </c>
      <c r="B22" s="19" t="s">
        <v>38</v>
      </c>
      <c r="C22" s="1" t="s">
        <v>2</v>
      </c>
      <c r="D22" s="1" t="s">
        <v>5</v>
      </c>
      <c r="E22" s="1" t="s">
        <v>93</v>
      </c>
      <c r="F22" s="1" t="s">
        <v>10</v>
      </c>
      <c r="G22" s="1" t="s">
        <v>10</v>
      </c>
      <c r="H22" s="1"/>
      <c r="I22" s="1"/>
      <c r="J22" s="1"/>
      <c r="K22" s="1" t="s">
        <v>10</v>
      </c>
      <c r="L22" s="1"/>
      <c r="M22" s="1"/>
      <c r="N22" s="1"/>
      <c r="O22" s="1"/>
      <c r="P22" s="1"/>
      <c r="Q22" s="4"/>
      <c r="R22" s="1"/>
      <c r="S22" s="1"/>
      <c r="T22" s="1"/>
      <c r="U22" s="1"/>
      <c r="V22" s="1"/>
      <c r="W22" s="1" t="s">
        <v>101</v>
      </c>
      <c r="X22" s="1"/>
    </row>
    <row r="23" spans="1:24" ht="48.75" customHeight="1" x14ac:dyDescent="0.2">
      <c r="A23" s="8">
        <v>21</v>
      </c>
      <c r="B23" s="19" t="s">
        <v>39</v>
      </c>
      <c r="C23" s="1" t="s">
        <v>2</v>
      </c>
      <c r="D23" s="1" t="s">
        <v>5</v>
      </c>
      <c r="E23" s="1" t="s">
        <v>99</v>
      </c>
      <c r="F23" s="1" t="s">
        <v>10</v>
      </c>
      <c r="G23" s="1" t="s">
        <v>10</v>
      </c>
      <c r="H23" s="1" t="s">
        <v>10</v>
      </c>
      <c r="I23" s="1"/>
      <c r="J23" s="1"/>
      <c r="K23" s="1" t="s">
        <v>10</v>
      </c>
      <c r="L23" s="1"/>
      <c r="M23" s="1" t="s">
        <v>10</v>
      </c>
      <c r="N23" s="1"/>
      <c r="O23" s="1"/>
      <c r="P23" s="1" t="s">
        <v>10</v>
      </c>
      <c r="Q23" s="4"/>
      <c r="R23" s="1" t="s">
        <v>10</v>
      </c>
      <c r="S23" s="1"/>
      <c r="T23" s="1"/>
      <c r="U23" s="1"/>
      <c r="V23" s="1"/>
      <c r="W23" s="1"/>
      <c r="X23" s="1" t="s">
        <v>10</v>
      </c>
    </row>
    <row r="24" spans="1:24" ht="75" x14ac:dyDescent="0.2">
      <c r="A24" s="9">
        <v>22</v>
      </c>
      <c r="B24" s="19" t="s">
        <v>40</v>
      </c>
      <c r="C24" s="1" t="s">
        <v>2</v>
      </c>
      <c r="D24" s="1" t="s">
        <v>5</v>
      </c>
      <c r="E24" s="1" t="s">
        <v>99</v>
      </c>
      <c r="F24" s="1" t="s">
        <v>10</v>
      </c>
      <c r="G24" s="1" t="s">
        <v>10</v>
      </c>
      <c r="H24" s="1"/>
      <c r="I24" s="1"/>
      <c r="J24" s="1"/>
      <c r="K24" s="1" t="s">
        <v>10</v>
      </c>
      <c r="L24" s="1" t="s">
        <v>10</v>
      </c>
      <c r="M24" s="1"/>
      <c r="N24" s="1"/>
      <c r="O24" s="1"/>
      <c r="P24" s="1" t="s">
        <v>10</v>
      </c>
      <c r="Q24" s="4"/>
      <c r="R24" s="1"/>
      <c r="S24" s="1"/>
      <c r="T24" s="1"/>
      <c r="U24" s="1"/>
      <c r="V24" s="1"/>
      <c r="W24" s="1" t="s">
        <v>101</v>
      </c>
      <c r="X24" s="10"/>
    </row>
    <row r="25" spans="1:24" ht="45" x14ac:dyDescent="0.2">
      <c r="A25" s="9">
        <v>23</v>
      </c>
      <c r="B25" s="19" t="s">
        <v>41</v>
      </c>
      <c r="C25" s="1" t="s">
        <v>2</v>
      </c>
      <c r="D25" s="1" t="s">
        <v>5</v>
      </c>
      <c r="E25" s="1" t="s">
        <v>99</v>
      </c>
      <c r="F25" s="1" t="s">
        <v>10</v>
      </c>
      <c r="G25" s="1" t="s">
        <v>10</v>
      </c>
      <c r="H25" s="1" t="s">
        <v>10</v>
      </c>
      <c r="I25" s="1" t="s">
        <v>10</v>
      </c>
      <c r="J25" s="1"/>
      <c r="K25" s="1"/>
      <c r="L25" s="1"/>
      <c r="M25" s="1"/>
      <c r="N25" s="1"/>
      <c r="O25" s="1"/>
      <c r="P25" s="1"/>
      <c r="Q25" s="1"/>
      <c r="R25" s="1" t="s">
        <v>10</v>
      </c>
      <c r="S25" s="1"/>
      <c r="T25" s="1" t="s">
        <v>10</v>
      </c>
      <c r="U25" s="1"/>
      <c r="V25" s="1"/>
      <c r="W25" s="1"/>
      <c r="X25" s="1"/>
    </row>
    <row r="26" spans="1:24" ht="45" x14ac:dyDescent="0.2">
      <c r="A26" s="9">
        <v>24</v>
      </c>
      <c r="B26" s="19" t="s">
        <v>42</v>
      </c>
      <c r="C26" s="1" t="s">
        <v>2</v>
      </c>
      <c r="D26" s="1" t="s">
        <v>6</v>
      </c>
      <c r="E26" s="1" t="s">
        <v>99</v>
      </c>
      <c r="F26" s="1" t="s">
        <v>10</v>
      </c>
      <c r="G26" s="1" t="s">
        <v>10</v>
      </c>
      <c r="H26" s="1" t="s">
        <v>10</v>
      </c>
      <c r="I26" s="1" t="s">
        <v>10</v>
      </c>
      <c r="J26" s="1"/>
      <c r="K26" s="1"/>
      <c r="L26" s="1"/>
      <c r="M26" s="1"/>
      <c r="N26" s="1"/>
      <c r="O26" s="1"/>
      <c r="P26" s="1"/>
      <c r="Q26" s="1"/>
      <c r="R26" s="1"/>
      <c r="S26" s="1"/>
      <c r="T26" s="1"/>
      <c r="U26" s="1"/>
      <c r="V26" s="1"/>
      <c r="W26" s="1"/>
      <c r="X26" s="1"/>
    </row>
    <row r="27" spans="1:24" ht="48" x14ac:dyDescent="0.2">
      <c r="A27" s="9">
        <v>25</v>
      </c>
      <c r="B27" s="19" t="s">
        <v>43</v>
      </c>
      <c r="C27" s="1" t="s">
        <v>2</v>
      </c>
      <c r="D27" s="1" t="s">
        <v>6</v>
      </c>
      <c r="E27" s="1" t="s">
        <v>93</v>
      </c>
      <c r="F27" s="1" t="s">
        <v>10</v>
      </c>
      <c r="G27" s="1" t="s">
        <v>10</v>
      </c>
      <c r="H27" s="1" t="s">
        <v>10</v>
      </c>
      <c r="I27" s="1" t="s">
        <v>10</v>
      </c>
      <c r="J27" s="1"/>
      <c r="K27" s="1"/>
      <c r="L27" s="1"/>
      <c r="M27" s="1"/>
      <c r="N27" s="1"/>
      <c r="O27" s="1"/>
      <c r="P27" s="1"/>
      <c r="Q27" s="1"/>
      <c r="R27" s="1"/>
      <c r="S27" s="1"/>
      <c r="T27" s="1"/>
      <c r="U27" s="1"/>
      <c r="V27" s="1"/>
      <c r="W27" s="1"/>
      <c r="X27" s="1"/>
    </row>
    <row r="28" spans="1:24" ht="48" x14ac:dyDescent="0.2">
      <c r="A28" s="9">
        <v>26</v>
      </c>
      <c r="B28" s="19" t="s">
        <v>44</v>
      </c>
      <c r="C28" s="1" t="s">
        <v>2</v>
      </c>
      <c r="D28" s="1" t="s">
        <v>5</v>
      </c>
      <c r="E28" s="1" t="s">
        <v>93</v>
      </c>
      <c r="F28" s="1" t="s">
        <v>10</v>
      </c>
      <c r="G28" s="1" t="s">
        <v>10</v>
      </c>
      <c r="H28" s="1"/>
      <c r="I28" s="1"/>
      <c r="J28" s="1"/>
      <c r="K28" s="1" t="s">
        <v>10</v>
      </c>
      <c r="L28" s="1"/>
      <c r="M28" s="1"/>
      <c r="N28" s="1"/>
      <c r="O28" s="1"/>
      <c r="P28" s="1"/>
      <c r="Q28" s="1"/>
      <c r="R28" s="1"/>
      <c r="S28" s="1"/>
      <c r="T28" s="1"/>
      <c r="U28" s="1"/>
      <c r="V28" s="1"/>
      <c r="W28" s="1" t="s">
        <v>96</v>
      </c>
      <c r="X28" s="1"/>
    </row>
    <row r="29" spans="1:24" ht="36" x14ac:dyDescent="0.2">
      <c r="A29" s="9">
        <v>27</v>
      </c>
      <c r="B29" s="19" t="s">
        <v>45</v>
      </c>
      <c r="C29" s="1" t="s">
        <v>2</v>
      </c>
      <c r="D29" s="1" t="s">
        <v>5</v>
      </c>
      <c r="E29" s="1" t="s">
        <v>99</v>
      </c>
      <c r="F29" s="1" t="s">
        <v>10</v>
      </c>
      <c r="G29" s="1" t="s">
        <v>10</v>
      </c>
      <c r="H29" s="1" t="s">
        <v>10</v>
      </c>
      <c r="I29" s="1" t="s">
        <v>10</v>
      </c>
      <c r="J29" s="1"/>
      <c r="K29" s="1"/>
      <c r="L29" s="1"/>
      <c r="M29" s="1" t="s">
        <v>10</v>
      </c>
      <c r="N29" s="1"/>
      <c r="O29" s="1"/>
      <c r="P29" s="1"/>
      <c r="Q29" s="1"/>
      <c r="R29" s="1" t="s">
        <v>10</v>
      </c>
      <c r="S29" s="1"/>
      <c r="T29" s="1"/>
      <c r="U29" s="1"/>
      <c r="V29" s="1"/>
      <c r="W29" s="1"/>
      <c r="X29" s="1"/>
    </row>
    <row r="30" spans="1:24" ht="48" x14ac:dyDescent="0.2">
      <c r="A30" s="9">
        <v>28</v>
      </c>
      <c r="B30" s="19" t="s">
        <v>46</v>
      </c>
      <c r="C30" s="1" t="s">
        <v>2</v>
      </c>
      <c r="D30" s="1" t="s">
        <v>5</v>
      </c>
      <c r="E30" s="1" t="s">
        <v>93</v>
      </c>
      <c r="F30" s="1" t="s">
        <v>10</v>
      </c>
      <c r="G30" s="1" t="s">
        <v>10</v>
      </c>
      <c r="H30" s="1"/>
      <c r="I30" s="1"/>
      <c r="J30" s="1"/>
      <c r="K30" s="1" t="s">
        <v>10</v>
      </c>
      <c r="L30" s="1"/>
      <c r="M30" s="1"/>
      <c r="N30" s="1"/>
      <c r="O30" s="1"/>
      <c r="P30" s="1"/>
      <c r="Q30" s="1"/>
      <c r="R30" s="1"/>
      <c r="S30" s="1"/>
      <c r="T30" s="1"/>
      <c r="U30" s="1"/>
      <c r="V30" s="1"/>
      <c r="W30" s="1"/>
      <c r="X30" s="1"/>
    </row>
    <row r="31" spans="1:24" ht="45" x14ac:dyDescent="0.2">
      <c r="A31" s="9">
        <v>29</v>
      </c>
      <c r="B31" s="19" t="s">
        <v>47</v>
      </c>
      <c r="C31" s="1" t="s">
        <v>2</v>
      </c>
      <c r="D31" s="1" t="s">
        <v>5</v>
      </c>
      <c r="E31" s="1" t="s">
        <v>99</v>
      </c>
      <c r="F31" s="1" t="s">
        <v>10</v>
      </c>
      <c r="G31" s="1" t="s">
        <v>10</v>
      </c>
      <c r="H31" s="1" t="s">
        <v>10</v>
      </c>
      <c r="I31" s="1"/>
      <c r="J31" s="1"/>
      <c r="K31" s="1" t="s">
        <v>10</v>
      </c>
      <c r="L31" s="1"/>
      <c r="M31" s="1" t="s">
        <v>10</v>
      </c>
      <c r="N31" s="1"/>
      <c r="O31" s="1"/>
      <c r="P31" s="1" t="s">
        <v>10</v>
      </c>
      <c r="Q31" s="1"/>
      <c r="R31" s="1" t="s">
        <v>10</v>
      </c>
      <c r="S31" s="1"/>
      <c r="T31" s="1"/>
      <c r="U31" s="1"/>
      <c r="V31" s="1"/>
      <c r="W31" s="1"/>
      <c r="X31" s="1"/>
    </row>
    <row r="32" spans="1:24" ht="48" x14ac:dyDescent="0.2">
      <c r="A32" s="9">
        <v>30</v>
      </c>
      <c r="B32" s="19" t="s">
        <v>48</v>
      </c>
      <c r="C32" s="1" t="s">
        <v>2</v>
      </c>
      <c r="D32" s="1" t="s">
        <v>5</v>
      </c>
      <c r="E32" s="1" t="s">
        <v>93</v>
      </c>
      <c r="F32" s="1" t="s">
        <v>10</v>
      </c>
      <c r="G32" s="1" t="s">
        <v>10</v>
      </c>
      <c r="H32" s="1" t="s">
        <v>10</v>
      </c>
      <c r="I32" s="1"/>
      <c r="J32" s="1"/>
      <c r="K32" s="1" t="s">
        <v>10</v>
      </c>
      <c r="L32" s="1"/>
      <c r="M32" s="1"/>
      <c r="N32" s="1"/>
      <c r="O32" s="1"/>
      <c r="P32" s="1"/>
      <c r="Q32" s="1"/>
      <c r="R32" s="1"/>
      <c r="S32" s="1"/>
      <c r="T32" s="1"/>
      <c r="U32" s="1"/>
      <c r="V32" s="1"/>
      <c r="W32" s="1" t="s">
        <v>96</v>
      </c>
      <c r="X32" s="1"/>
    </row>
    <row r="33" spans="1:25" ht="36" x14ac:dyDescent="0.2">
      <c r="A33" s="9">
        <v>31</v>
      </c>
      <c r="B33" s="19" t="s">
        <v>49</v>
      </c>
      <c r="C33" s="1" t="s">
        <v>2</v>
      </c>
      <c r="D33" s="1" t="s">
        <v>6</v>
      </c>
      <c r="E33" s="1" t="s">
        <v>99</v>
      </c>
      <c r="F33" s="1"/>
      <c r="G33" s="1" t="s">
        <v>10</v>
      </c>
      <c r="H33" s="1"/>
      <c r="I33" s="1"/>
      <c r="J33" s="1"/>
      <c r="K33" s="1" t="s">
        <v>10</v>
      </c>
      <c r="L33" s="1"/>
      <c r="M33" s="1"/>
      <c r="N33" s="1"/>
      <c r="O33" s="1"/>
      <c r="P33" s="1"/>
      <c r="Q33" s="1" t="s">
        <v>10</v>
      </c>
      <c r="R33" s="1"/>
      <c r="S33" s="1"/>
      <c r="T33" s="1"/>
      <c r="U33" s="1"/>
      <c r="V33" s="1"/>
      <c r="W33" s="1" t="s">
        <v>101</v>
      </c>
      <c r="X33" s="1"/>
    </row>
    <row r="34" spans="1:25" ht="105" x14ac:dyDescent="0.2">
      <c r="A34" s="9">
        <v>32</v>
      </c>
      <c r="B34" s="19" t="s">
        <v>50</v>
      </c>
      <c r="C34" s="1" t="s">
        <v>2</v>
      </c>
      <c r="D34" s="1" t="s">
        <v>6</v>
      </c>
      <c r="E34" s="1" t="s">
        <v>93</v>
      </c>
      <c r="F34" s="1"/>
      <c r="G34" s="1" t="s">
        <v>10</v>
      </c>
      <c r="H34" s="1"/>
      <c r="I34" s="1"/>
      <c r="J34" s="1"/>
      <c r="K34" s="1"/>
      <c r="L34" s="1"/>
      <c r="M34" s="1"/>
      <c r="N34" s="1"/>
      <c r="O34" s="1"/>
      <c r="P34" s="1"/>
      <c r="Q34" s="1"/>
      <c r="R34" s="1"/>
      <c r="S34" s="1"/>
      <c r="T34" s="1"/>
      <c r="U34" s="1"/>
      <c r="V34" s="1"/>
      <c r="W34" s="1"/>
      <c r="X34" s="1"/>
    </row>
    <row r="35" spans="1:25" ht="36" x14ac:dyDescent="0.25">
      <c r="A35" s="9">
        <v>33</v>
      </c>
      <c r="B35" s="25" t="s">
        <v>51</v>
      </c>
      <c r="C35" s="1" t="s">
        <v>2</v>
      </c>
      <c r="D35" s="1" t="s">
        <v>6</v>
      </c>
      <c r="E35" s="1" t="s">
        <v>102</v>
      </c>
      <c r="F35" s="1" t="s">
        <v>10</v>
      </c>
      <c r="G35" s="1" t="s">
        <v>10</v>
      </c>
      <c r="H35" s="1" t="s">
        <v>10</v>
      </c>
      <c r="I35" s="1"/>
      <c r="J35" s="1"/>
      <c r="K35" s="1" t="s">
        <v>10</v>
      </c>
      <c r="L35" s="1"/>
      <c r="M35" s="1" t="s">
        <v>10</v>
      </c>
      <c r="N35" s="1"/>
      <c r="O35" s="1"/>
      <c r="P35" s="1" t="s">
        <v>10</v>
      </c>
      <c r="Q35" s="1" t="s">
        <v>10</v>
      </c>
      <c r="R35" s="1" t="s">
        <v>10</v>
      </c>
      <c r="S35" s="1"/>
      <c r="T35" s="1"/>
      <c r="U35" s="1"/>
      <c r="V35" s="1"/>
      <c r="W35" s="1"/>
      <c r="X35" s="1" t="s">
        <v>10</v>
      </c>
    </row>
    <row r="36" spans="1:25" ht="63" x14ac:dyDescent="0.2">
      <c r="A36" s="9">
        <v>34</v>
      </c>
      <c r="B36" s="21" t="s">
        <v>52</v>
      </c>
      <c r="C36" s="1" t="s">
        <v>3</v>
      </c>
      <c r="D36" s="1" t="s">
        <v>19</v>
      </c>
      <c r="E36" s="1" t="s">
        <v>93</v>
      </c>
      <c r="F36" s="1"/>
      <c r="G36" s="1" t="s">
        <v>10</v>
      </c>
      <c r="H36" s="1"/>
      <c r="I36" s="1"/>
      <c r="J36" s="1"/>
      <c r="K36" s="1" t="s">
        <v>10</v>
      </c>
      <c r="L36" s="1"/>
      <c r="M36" s="1"/>
      <c r="N36" s="1"/>
      <c r="O36" s="1"/>
      <c r="P36" s="1"/>
      <c r="Q36" s="1" t="s">
        <v>10</v>
      </c>
      <c r="R36" s="1"/>
      <c r="S36" s="1"/>
      <c r="T36" s="1"/>
      <c r="U36" s="1"/>
      <c r="V36" s="1"/>
      <c r="W36" s="1" t="s">
        <v>103</v>
      </c>
      <c r="X36" s="1"/>
    </row>
    <row r="37" spans="1:25" ht="94.5" x14ac:dyDescent="0.2">
      <c r="A37" s="9">
        <v>35</v>
      </c>
      <c r="B37" s="21" t="s">
        <v>53</v>
      </c>
      <c r="C37" s="1" t="s">
        <v>3</v>
      </c>
      <c r="D37" s="1" t="s">
        <v>6</v>
      </c>
      <c r="E37" s="1" t="s">
        <v>93</v>
      </c>
      <c r="F37" s="1"/>
      <c r="G37" s="1" t="s">
        <v>10</v>
      </c>
      <c r="H37" s="1"/>
      <c r="I37" s="1"/>
      <c r="J37" s="1"/>
      <c r="K37" s="1" t="s">
        <v>10</v>
      </c>
      <c r="L37" s="1"/>
      <c r="M37" s="1"/>
      <c r="N37" s="1"/>
      <c r="O37" s="1"/>
      <c r="P37" s="1"/>
      <c r="Q37" s="1" t="s">
        <v>10</v>
      </c>
      <c r="R37" s="1"/>
      <c r="S37" s="1"/>
      <c r="T37" s="1"/>
      <c r="U37" s="1"/>
      <c r="V37" s="1"/>
      <c r="W37" s="1" t="s">
        <v>103</v>
      </c>
      <c r="X37" s="1"/>
    </row>
    <row r="38" spans="1:25" ht="94.5" x14ac:dyDescent="0.2">
      <c r="A38" s="9">
        <v>36</v>
      </c>
      <c r="B38" s="21" t="s">
        <v>54</v>
      </c>
      <c r="C38" s="1" t="s">
        <v>3</v>
      </c>
      <c r="D38" s="1" t="s">
        <v>19</v>
      </c>
      <c r="E38" s="1" t="s">
        <v>93</v>
      </c>
      <c r="F38" s="1"/>
      <c r="G38" s="1" t="s">
        <v>10</v>
      </c>
      <c r="H38" s="1"/>
      <c r="I38" s="1"/>
      <c r="J38" s="1"/>
      <c r="K38" s="1" t="s">
        <v>10</v>
      </c>
      <c r="L38" s="1"/>
      <c r="M38" s="1"/>
      <c r="N38" s="1"/>
      <c r="O38" s="1"/>
      <c r="P38" s="1"/>
      <c r="Q38" s="1" t="s">
        <v>10</v>
      </c>
      <c r="R38" s="1"/>
      <c r="S38" s="1"/>
      <c r="T38" s="1"/>
      <c r="U38" s="1"/>
      <c r="V38" s="1"/>
      <c r="W38" s="1" t="s">
        <v>103</v>
      </c>
      <c r="X38" s="1"/>
    </row>
    <row r="39" spans="1:25" ht="48" x14ac:dyDescent="0.2">
      <c r="A39" s="9">
        <v>37</v>
      </c>
      <c r="B39" s="21" t="s">
        <v>55</v>
      </c>
      <c r="C39" s="1" t="s">
        <v>3</v>
      </c>
      <c r="D39" s="1" t="s">
        <v>104</v>
      </c>
      <c r="E39" s="1" t="s">
        <v>105</v>
      </c>
      <c r="F39" s="1" t="s">
        <v>10</v>
      </c>
      <c r="G39" s="1"/>
      <c r="H39" s="1" t="s">
        <v>10</v>
      </c>
      <c r="I39" s="1"/>
      <c r="J39" s="1"/>
      <c r="K39" s="1"/>
      <c r="L39" s="1"/>
      <c r="M39" s="1" t="s">
        <v>10</v>
      </c>
      <c r="N39" s="1"/>
      <c r="O39" s="1"/>
      <c r="P39" s="1"/>
      <c r="Q39" s="1"/>
      <c r="R39" s="1" t="s">
        <v>10</v>
      </c>
      <c r="S39" s="1"/>
      <c r="T39" s="1"/>
      <c r="U39" s="1"/>
      <c r="V39" s="1"/>
      <c r="W39" s="1"/>
      <c r="X39" s="1"/>
    </row>
    <row r="40" spans="1:25" ht="51" customHeight="1" x14ac:dyDescent="0.2">
      <c r="A40" s="9">
        <v>38</v>
      </c>
      <c r="B40" s="21" t="s">
        <v>56</v>
      </c>
      <c r="C40" s="1" t="s">
        <v>3</v>
      </c>
      <c r="D40" s="1" t="s">
        <v>104</v>
      </c>
      <c r="E40" s="1" t="s">
        <v>105</v>
      </c>
      <c r="F40" s="1" t="s">
        <v>10</v>
      </c>
      <c r="G40" s="1"/>
      <c r="H40" s="1" t="s">
        <v>10</v>
      </c>
      <c r="I40" s="1"/>
      <c r="J40" s="1"/>
      <c r="K40" s="1"/>
      <c r="L40" s="1"/>
      <c r="M40" s="1"/>
      <c r="N40" s="1"/>
      <c r="O40" s="1"/>
      <c r="P40" s="1"/>
      <c r="Q40" s="1"/>
      <c r="R40" s="1" t="s">
        <v>10</v>
      </c>
      <c r="S40" s="1"/>
      <c r="T40" s="1"/>
      <c r="U40" s="1"/>
      <c r="V40" s="1"/>
      <c r="W40" s="1"/>
      <c r="X40" s="1"/>
    </row>
    <row r="41" spans="1:25" ht="48" x14ac:dyDescent="0.2">
      <c r="A41" s="9">
        <v>39</v>
      </c>
      <c r="B41" s="21" t="s">
        <v>57</v>
      </c>
      <c r="C41" s="1" t="s">
        <v>3</v>
      </c>
      <c r="D41" s="1" t="s">
        <v>104</v>
      </c>
      <c r="E41" s="1" t="s">
        <v>105</v>
      </c>
      <c r="F41" s="1"/>
      <c r="G41" s="1" t="s">
        <v>10</v>
      </c>
      <c r="H41" s="1"/>
      <c r="I41" s="1"/>
      <c r="J41" s="1"/>
      <c r="K41" s="1"/>
      <c r="L41" s="1"/>
      <c r="M41" s="1"/>
      <c r="N41" s="1"/>
      <c r="O41" s="1"/>
      <c r="P41" s="1"/>
      <c r="Q41" s="1"/>
      <c r="R41" s="1"/>
      <c r="S41" s="1"/>
      <c r="T41" s="1"/>
      <c r="U41" s="1"/>
      <c r="V41" s="1"/>
      <c r="W41" s="1"/>
      <c r="X41" s="1"/>
    </row>
    <row r="42" spans="1:25" customFormat="1" ht="48" x14ac:dyDescent="0.25">
      <c r="A42" s="9">
        <v>40</v>
      </c>
      <c r="B42" s="21" t="s">
        <v>58</v>
      </c>
      <c r="C42" s="1" t="s">
        <v>3</v>
      </c>
      <c r="D42" s="1" t="s">
        <v>5</v>
      </c>
      <c r="E42" s="1" t="s">
        <v>105</v>
      </c>
      <c r="F42" s="4"/>
      <c r="G42" s="1" t="s">
        <v>10</v>
      </c>
      <c r="H42" s="1"/>
      <c r="I42" s="1"/>
      <c r="J42" s="4"/>
      <c r="K42" s="1"/>
      <c r="L42" s="1"/>
      <c r="M42" s="1"/>
      <c r="N42" s="1"/>
      <c r="O42" s="1"/>
      <c r="P42" s="4"/>
      <c r="Q42" s="4"/>
      <c r="R42" s="4"/>
      <c r="S42" s="4"/>
      <c r="T42" s="4"/>
      <c r="U42" s="4"/>
      <c r="V42" s="4"/>
      <c r="W42" s="4"/>
      <c r="X42" s="4"/>
      <c r="Y42" s="2"/>
    </row>
    <row r="43" spans="1:25" ht="48" x14ac:dyDescent="0.2">
      <c r="A43" s="12">
        <v>41</v>
      </c>
      <c r="B43" s="22" t="s">
        <v>59</v>
      </c>
      <c r="C43" s="4" t="s">
        <v>2</v>
      </c>
      <c r="D43" s="4" t="s">
        <v>5</v>
      </c>
      <c r="E43" s="1" t="s">
        <v>105</v>
      </c>
      <c r="F43" s="1" t="s">
        <v>10</v>
      </c>
      <c r="G43" s="1" t="s">
        <v>10</v>
      </c>
      <c r="H43" s="4"/>
      <c r="I43" s="1" t="s">
        <v>10</v>
      </c>
      <c r="J43" s="4"/>
      <c r="K43" s="4"/>
      <c r="L43" s="4"/>
      <c r="M43" s="4"/>
      <c r="N43" s="1"/>
      <c r="O43" s="1"/>
      <c r="P43" s="4"/>
      <c r="Q43" s="4"/>
      <c r="R43" s="4"/>
      <c r="S43" s="4"/>
      <c r="T43" s="4"/>
      <c r="U43" s="4"/>
      <c r="V43" s="4"/>
      <c r="W43" s="1" t="s">
        <v>96</v>
      </c>
      <c r="X43" s="4"/>
    </row>
    <row r="44" spans="1:25" ht="63" x14ac:dyDescent="0.2">
      <c r="A44" s="17">
        <v>42</v>
      </c>
      <c r="B44" s="21" t="s">
        <v>1</v>
      </c>
      <c r="C44" s="1" t="s">
        <v>3</v>
      </c>
      <c r="D44" s="4" t="s">
        <v>5</v>
      </c>
      <c r="E44" s="1" t="s">
        <v>105</v>
      </c>
      <c r="F44" s="1" t="s">
        <v>10</v>
      </c>
      <c r="G44" s="1" t="s">
        <v>10</v>
      </c>
      <c r="H44" s="1" t="s">
        <v>10</v>
      </c>
      <c r="I44" s="1" t="s">
        <v>10</v>
      </c>
      <c r="J44" s="4"/>
      <c r="K44" s="4"/>
      <c r="L44" s="4"/>
      <c r="M44" s="4"/>
      <c r="N44" s="1"/>
      <c r="O44" s="1"/>
      <c r="P44" s="4"/>
      <c r="Q44" s="4"/>
      <c r="R44" s="1" t="s">
        <v>10</v>
      </c>
      <c r="S44" s="1" t="s">
        <v>10</v>
      </c>
      <c r="T44" s="4"/>
      <c r="U44" s="4"/>
      <c r="V44" s="4"/>
      <c r="W44" s="4"/>
      <c r="X44" s="4"/>
    </row>
    <row r="45" spans="1:25" ht="60.75" customHeight="1" x14ac:dyDescent="0.2">
      <c r="A45" s="24" t="s">
        <v>76</v>
      </c>
      <c r="B45" s="21" t="s">
        <v>60</v>
      </c>
      <c r="C45" s="1" t="s">
        <v>3</v>
      </c>
      <c r="D45" s="4" t="s">
        <v>6</v>
      </c>
      <c r="E45" s="4" t="s">
        <v>8</v>
      </c>
      <c r="F45" s="13"/>
      <c r="G45" s="1" t="s">
        <v>10</v>
      </c>
      <c r="H45" s="13"/>
      <c r="I45" s="14"/>
      <c r="J45" s="13"/>
      <c r="K45" s="1" t="s">
        <v>10</v>
      </c>
      <c r="L45" s="13"/>
      <c r="M45" s="13"/>
      <c r="N45" s="1"/>
      <c r="O45" s="1"/>
      <c r="P45" s="14"/>
      <c r="Q45" s="1" t="s">
        <v>10</v>
      </c>
      <c r="R45" s="14"/>
      <c r="S45" s="14"/>
      <c r="T45" s="14"/>
      <c r="U45" s="14"/>
      <c r="V45" s="14"/>
      <c r="W45" s="1" t="s">
        <v>107</v>
      </c>
      <c r="X45" s="1" t="s">
        <v>10</v>
      </c>
    </row>
    <row r="46" spans="1:25" ht="63" x14ac:dyDescent="0.2">
      <c r="A46" s="6" t="s">
        <v>77</v>
      </c>
      <c r="B46" s="21" t="s">
        <v>61</v>
      </c>
      <c r="C46" s="1" t="s">
        <v>3</v>
      </c>
      <c r="D46" s="4" t="s">
        <v>5</v>
      </c>
      <c r="E46" s="4" t="s">
        <v>8</v>
      </c>
      <c r="F46" s="1" t="s">
        <v>10</v>
      </c>
      <c r="G46" s="1" t="s">
        <v>10</v>
      </c>
      <c r="H46" s="1" t="s">
        <v>10</v>
      </c>
      <c r="I46" s="4"/>
      <c r="J46" s="4"/>
      <c r="K46" s="1" t="s">
        <v>10</v>
      </c>
      <c r="L46" s="4"/>
      <c r="M46" s="1" t="s">
        <v>10</v>
      </c>
      <c r="N46" s="4"/>
      <c r="O46" s="1"/>
      <c r="P46" s="4"/>
      <c r="Q46" s="1" t="s">
        <v>10</v>
      </c>
      <c r="R46" s="1" t="s">
        <v>10</v>
      </c>
      <c r="S46" s="4"/>
      <c r="T46" s="4"/>
      <c r="U46" s="4"/>
      <c r="V46" s="4"/>
      <c r="W46" s="4"/>
      <c r="X46" s="4"/>
    </row>
    <row r="47" spans="1:25" ht="47.25" x14ac:dyDescent="0.25">
      <c r="A47" s="6" t="s">
        <v>78</v>
      </c>
      <c r="B47" s="26" t="s">
        <v>62</v>
      </c>
      <c r="C47" s="1" t="s">
        <v>3</v>
      </c>
      <c r="D47" s="4" t="s">
        <v>6</v>
      </c>
      <c r="E47" s="4" t="s">
        <v>7</v>
      </c>
      <c r="F47" s="1" t="s">
        <v>10</v>
      </c>
      <c r="G47" s="1" t="s">
        <v>10</v>
      </c>
      <c r="H47" s="4"/>
      <c r="I47" s="4"/>
      <c r="J47" s="4"/>
      <c r="K47" s="4"/>
      <c r="L47" s="4"/>
      <c r="M47" s="4"/>
      <c r="N47" s="4"/>
      <c r="O47" s="1"/>
      <c r="P47" s="4"/>
      <c r="Q47" s="4"/>
      <c r="R47" s="4"/>
      <c r="S47" s="4"/>
      <c r="T47" s="4"/>
      <c r="U47" s="4"/>
      <c r="V47" s="1" t="s">
        <v>10</v>
      </c>
      <c r="W47" s="1" t="s">
        <v>96</v>
      </c>
      <c r="X47" s="1" t="s">
        <v>10</v>
      </c>
    </row>
    <row r="48" spans="1:25" ht="63" x14ac:dyDescent="0.2">
      <c r="A48" s="6" t="s">
        <v>79</v>
      </c>
      <c r="B48" s="21" t="s">
        <v>63</v>
      </c>
      <c r="C48" s="1" t="s">
        <v>3</v>
      </c>
      <c r="D48" s="4" t="s">
        <v>6</v>
      </c>
      <c r="E48" s="4" t="s">
        <v>8</v>
      </c>
      <c r="F48" s="1" t="s">
        <v>10</v>
      </c>
      <c r="G48" s="1" t="s">
        <v>10</v>
      </c>
      <c r="H48" s="1" t="s">
        <v>10</v>
      </c>
      <c r="I48" s="4"/>
      <c r="J48" s="4"/>
      <c r="K48" s="4"/>
      <c r="L48" s="4"/>
      <c r="M48" s="4"/>
      <c r="N48" s="4"/>
      <c r="O48" s="1"/>
      <c r="P48" s="4"/>
      <c r="Q48" s="4"/>
      <c r="R48" s="1" t="s">
        <v>10</v>
      </c>
      <c r="S48" s="1" t="s">
        <v>10</v>
      </c>
      <c r="T48" s="4"/>
      <c r="U48" s="4"/>
      <c r="V48" s="4"/>
      <c r="W48" s="4"/>
      <c r="X48" s="4"/>
    </row>
    <row r="49" spans="1:24" ht="31.5" x14ac:dyDescent="0.2">
      <c r="A49" s="6" t="s">
        <v>80</v>
      </c>
      <c r="B49" s="21" t="s">
        <v>64</v>
      </c>
      <c r="C49" s="4" t="s">
        <v>3</v>
      </c>
      <c r="D49" s="4" t="s">
        <v>5</v>
      </c>
      <c r="E49" s="4" t="s">
        <v>8</v>
      </c>
      <c r="F49" s="4"/>
      <c r="G49" s="1" t="s">
        <v>10</v>
      </c>
      <c r="H49" s="4"/>
      <c r="I49" s="4"/>
      <c r="J49" s="1" t="s">
        <v>10</v>
      </c>
      <c r="K49" s="4"/>
      <c r="L49" s="4"/>
      <c r="M49" s="4"/>
      <c r="N49" s="4"/>
      <c r="O49" s="1"/>
      <c r="P49" s="4"/>
      <c r="Q49" s="4"/>
      <c r="R49" s="4"/>
      <c r="S49" s="4"/>
      <c r="T49" s="4"/>
      <c r="U49" s="4"/>
      <c r="V49" s="4"/>
      <c r="W49" s="4"/>
      <c r="X49" s="4"/>
    </row>
    <row r="50" spans="1:24" ht="141.75" x14ac:dyDescent="0.2">
      <c r="A50" s="6" t="s">
        <v>81</v>
      </c>
      <c r="B50" s="21" t="s">
        <v>65</v>
      </c>
      <c r="C50" s="1" t="s">
        <v>3</v>
      </c>
      <c r="D50" s="1" t="s">
        <v>5</v>
      </c>
      <c r="E50" s="1" t="s">
        <v>105</v>
      </c>
      <c r="F50" s="4"/>
      <c r="G50" s="1"/>
      <c r="H50" s="1" t="s">
        <v>10</v>
      </c>
      <c r="I50" s="4"/>
      <c r="J50" s="4"/>
      <c r="K50" s="1" t="s">
        <v>10</v>
      </c>
      <c r="L50" s="4"/>
      <c r="M50" s="4"/>
      <c r="N50" s="4"/>
      <c r="O50" s="1"/>
      <c r="P50" s="4"/>
      <c r="Q50" s="4"/>
      <c r="R50" s="1" t="s">
        <v>10</v>
      </c>
      <c r="S50" s="4"/>
      <c r="T50" s="4"/>
      <c r="U50" s="4"/>
      <c r="V50" s="4"/>
      <c r="W50" s="1" t="s">
        <v>96</v>
      </c>
      <c r="X50" s="4"/>
    </row>
    <row r="51" spans="1:24" ht="24" x14ac:dyDescent="0.2">
      <c r="A51" s="6" t="s">
        <v>82</v>
      </c>
      <c r="B51" s="23" t="s">
        <v>66</v>
      </c>
      <c r="C51" s="1" t="s">
        <v>3</v>
      </c>
      <c r="D51" s="1" t="s">
        <v>5</v>
      </c>
      <c r="E51" s="4" t="s">
        <v>8</v>
      </c>
      <c r="F51" s="4"/>
      <c r="G51" s="1" t="s">
        <v>10</v>
      </c>
      <c r="H51" s="4"/>
      <c r="I51" s="4"/>
      <c r="J51" s="1" t="s">
        <v>10</v>
      </c>
      <c r="K51" s="4"/>
      <c r="L51" s="4"/>
      <c r="M51" s="4"/>
      <c r="N51" s="1"/>
      <c r="O51" s="1"/>
      <c r="P51" s="4"/>
      <c r="Q51" s="4"/>
      <c r="R51" s="4"/>
      <c r="S51" s="4"/>
      <c r="T51" s="4"/>
      <c r="U51" s="4"/>
      <c r="V51" s="4"/>
      <c r="W51" s="4"/>
      <c r="X51" s="4"/>
    </row>
    <row r="52" spans="1:24" ht="204.75" x14ac:dyDescent="0.2">
      <c r="A52" s="24" t="s">
        <v>83</v>
      </c>
      <c r="B52" s="21" t="s">
        <v>67</v>
      </c>
      <c r="C52" s="1" t="s">
        <v>3</v>
      </c>
      <c r="D52" s="1" t="s">
        <v>6</v>
      </c>
      <c r="E52" s="4" t="s">
        <v>8</v>
      </c>
      <c r="F52" s="1"/>
      <c r="G52" s="1" t="s">
        <v>10</v>
      </c>
      <c r="H52" s="1"/>
      <c r="I52" s="1"/>
      <c r="J52" s="1"/>
      <c r="K52" s="1"/>
      <c r="L52" s="1"/>
      <c r="M52" s="1"/>
      <c r="N52" s="1"/>
      <c r="O52" s="1"/>
      <c r="P52" s="1"/>
      <c r="Q52" s="1"/>
      <c r="R52" s="1"/>
      <c r="S52" s="1"/>
      <c r="T52" s="1"/>
      <c r="U52" s="1"/>
      <c r="V52" s="1" t="s">
        <v>10</v>
      </c>
      <c r="W52" s="1"/>
      <c r="X52" s="1"/>
    </row>
    <row r="53" spans="1:24" ht="63" x14ac:dyDescent="0.2">
      <c r="A53" s="24" t="s">
        <v>84</v>
      </c>
      <c r="B53" s="21" t="s">
        <v>68</v>
      </c>
      <c r="C53" s="1" t="s">
        <v>3</v>
      </c>
      <c r="D53" s="4" t="s">
        <v>6</v>
      </c>
      <c r="E53" s="4" t="s">
        <v>8</v>
      </c>
      <c r="F53" s="1"/>
      <c r="G53" s="1" t="s">
        <v>10</v>
      </c>
      <c r="H53" s="1"/>
      <c r="I53" s="1"/>
      <c r="J53" s="1"/>
      <c r="K53" s="1"/>
      <c r="L53" s="1"/>
      <c r="M53" s="1"/>
      <c r="N53" s="1"/>
      <c r="O53" s="1"/>
      <c r="P53" s="1"/>
      <c r="Q53" s="1"/>
      <c r="R53" s="1"/>
      <c r="S53" s="1"/>
      <c r="T53" s="1"/>
      <c r="U53" s="1"/>
      <c r="V53" s="1"/>
      <c r="W53" s="1"/>
      <c r="X53" s="1"/>
    </row>
    <row r="54" spans="1:24" ht="24" x14ac:dyDescent="0.2">
      <c r="A54" s="7">
        <v>52</v>
      </c>
      <c r="B54" s="19" t="s">
        <v>22</v>
      </c>
      <c r="C54" s="1" t="s">
        <v>3</v>
      </c>
      <c r="D54" s="4" t="s">
        <v>6</v>
      </c>
      <c r="E54" s="4" t="s">
        <v>8</v>
      </c>
      <c r="F54" s="10"/>
      <c r="G54" s="1" t="s">
        <v>10</v>
      </c>
      <c r="H54" s="10"/>
      <c r="I54" s="10"/>
      <c r="J54" s="10"/>
      <c r="K54" s="10"/>
      <c r="L54" s="10"/>
      <c r="M54" s="10"/>
      <c r="N54" s="1" t="s">
        <v>10</v>
      </c>
      <c r="O54" s="10"/>
      <c r="P54" s="10"/>
      <c r="Q54" s="10"/>
      <c r="R54" s="10"/>
      <c r="S54" s="10"/>
      <c r="T54" s="10"/>
      <c r="U54" s="10"/>
      <c r="V54" s="10"/>
      <c r="W54" s="10"/>
      <c r="X54" s="10"/>
    </row>
    <row r="55" spans="1:24" ht="31.5" x14ac:dyDescent="0.2">
      <c r="A55" s="7">
        <v>53</v>
      </c>
      <c r="B55" s="21" t="s">
        <v>69</v>
      </c>
      <c r="C55" s="1" t="s">
        <v>3</v>
      </c>
      <c r="D55" s="1" t="s">
        <v>5</v>
      </c>
      <c r="E55" s="4" t="s">
        <v>8</v>
      </c>
      <c r="F55" s="10"/>
      <c r="G55" s="1" t="s">
        <v>10</v>
      </c>
      <c r="H55" s="10"/>
      <c r="I55" s="10"/>
      <c r="J55" s="1" t="s">
        <v>10</v>
      </c>
      <c r="K55" s="10"/>
      <c r="L55" s="10"/>
      <c r="M55" s="10"/>
      <c r="N55" s="10"/>
      <c r="O55" s="10"/>
      <c r="P55" s="10"/>
      <c r="Q55" s="10"/>
      <c r="R55" s="10"/>
      <c r="S55" s="10"/>
      <c r="T55" s="10"/>
      <c r="U55" s="10"/>
      <c r="V55" s="1" t="s">
        <v>10</v>
      </c>
      <c r="W55" s="10"/>
      <c r="X55" s="10"/>
    </row>
    <row r="56" spans="1:24" ht="47.25" x14ac:dyDescent="0.25">
      <c r="A56" s="7">
        <v>54</v>
      </c>
      <c r="B56" s="26" t="s">
        <v>70</v>
      </c>
      <c r="C56" s="1" t="s">
        <v>3</v>
      </c>
      <c r="D56" s="1" t="s">
        <v>5</v>
      </c>
      <c r="E56" s="4" t="s">
        <v>8</v>
      </c>
      <c r="F56" s="1" t="s">
        <v>10</v>
      </c>
      <c r="G56" s="1" t="s">
        <v>10</v>
      </c>
      <c r="H56" s="1" t="s">
        <v>10</v>
      </c>
      <c r="I56" s="1" t="s">
        <v>10</v>
      </c>
      <c r="J56" s="10"/>
      <c r="K56" s="10"/>
      <c r="L56" s="1" t="s">
        <v>10</v>
      </c>
      <c r="M56" s="10"/>
      <c r="N56" s="10"/>
      <c r="O56" s="10"/>
      <c r="P56" s="10"/>
      <c r="Q56" s="10"/>
      <c r="R56" s="1" t="s">
        <v>10</v>
      </c>
      <c r="S56" s="10"/>
      <c r="T56" s="10"/>
      <c r="U56" s="10"/>
      <c r="V56" s="10"/>
      <c r="W56" s="10"/>
      <c r="X56" s="10"/>
    </row>
    <row r="57" spans="1:24" ht="47.25" x14ac:dyDescent="0.25">
      <c r="A57" s="7">
        <v>55</v>
      </c>
      <c r="B57" s="26" t="s">
        <v>71</v>
      </c>
      <c r="C57" s="1" t="s">
        <v>3</v>
      </c>
      <c r="D57" s="1" t="s">
        <v>6</v>
      </c>
      <c r="E57" s="4" t="s">
        <v>8</v>
      </c>
      <c r="F57" s="10"/>
      <c r="G57" s="1" t="s">
        <v>10</v>
      </c>
      <c r="H57" s="10"/>
      <c r="I57" s="10"/>
      <c r="J57" s="10"/>
      <c r="K57" s="10"/>
      <c r="L57" s="10"/>
      <c r="M57" s="10"/>
      <c r="N57" s="10"/>
      <c r="O57" s="10"/>
      <c r="P57" s="10"/>
      <c r="Q57" s="10"/>
      <c r="R57" s="10"/>
      <c r="S57" s="10"/>
      <c r="T57" s="10"/>
      <c r="U57" s="10"/>
      <c r="V57" s="10"/>
      <c r="W57" s="1" t="s">
        <v>106</v>
      </c>
      <c r="X57" s="10"/>
    </row>
    <row r="58" spans="1:24" ht="63" x14ac:dyDescent="0.2">
      <c r="A58" s="7">
        <v>56</v>
      </c>
      <c r="B58" s="27" t="s">
        <v>72</v>
      </c>
      <c r="C58" s="1" t="s">
        <v>3</v>
      </c>
      <c r="D58" s="1" t="s">
        <v>6</v>
      </c>
      <c r="E58" s="4" t="s">
        <v>8</v>
      </c>
      <c r="F58" s="10"/>
      <c r="G58" s="1" t="s">
        <v>10</v>
      </c>
      <c r="H58" s="10"/>
      <c r="I58" s="10"/>
      <c r="J58" s="10"/>
      <c r="K58" s="10"/>
      <c r="L58" s="10"/>
      <c r="M58" s="10"/>
      <c r="N58" s="10"/>
      <c r="O58" s="10"/>
      <c r="P58" s="10"/>
      <c r="Q58" s="10"/>
      <c r="R58" s="10"/>
      <c r="S58" s="10"/>
      <c r="T58" s="10"/>
      <c r="U58" s="10"/>
      <c r="V58" s="10"/>
      <c r="W58" s="1"/>
      <c r="X58" s="10"/>
    </row>
    <row r="59" spans="1:24" ht="47.25" x14ac:dyDescent="0.25">
      <c r="A59" s="7">
        <v>57</v>
      </c>
      <c r="B59" s="26" t="s">
        <v>73</v>
      </c>
      <c r="C59" s="1" t="s">
        <v>3</v>
      </c>
      <c r="D59" s="1" t="s">
        <v>5</v>
      </c>
      <c r="E59" s="4" t="s">
        <v>8</v>
      </c>
      <c r="F59" s="10"/>
      <c r="G59" s="1" t="s">
        <v>10</v>
      </c>
      <c r="H59" s="10"/>
      <c r="I59" s="10"/>
      <c r="J59" s="10"/>
      <c r="K59" s="10"/>
      <c r="L59" s="10"/>
      <c r="M59" s="10"/>
      <c r="N59" s="10"/>
      <c r="O59" s="10"/>
      <c r="P59" s="10"/>
      <c r="Q59" s="10"/>
      <c r="R59" s="10"/>
      <c r="S59" s="10"/>
      <c r="T59" s="10"/>
      <c r="U59" s="10"/>
      <c r="V59" s="10"/>
      <c r="W59" s="10" t="s">
        <v>111</v>
      </c>
      <c r="X59" s="10"/>
    </row>
    <row r="60" spans="1:24" ht="94.5" x14ac:dyDescent="0.25">
      <c r="A60" s="7">
        <v>58</v>
      </c>
      <c r="B60" s="26" t="s">
        <v>74</v>
      </c>
      <c r="C60" s="1" t="s">
        <v>3</v>
      </c>
      <c r="D60" s="1" t="s">
        <v>5</v>
      </c>
      <c r="E60" s="4" t="s">
        <v>8</v>
      </c>
      <c r="F60" s="10"/>
      <c r="G60" s="1" t="s">
        <v>10</v>
      </c>
      <c r="H60" s="1" t="s">
        <v>10</v>
      </c>
      <c r="I60" s="10"/>
      <c r="J60" s="10"/>
      <c r="K60" s="10"/>
      <c r="L60" s="10"/>
      <c r="M60" s="10"/>
      <c r="N60" s="10"/>
      <c r="O60" s="10"/>
      <c r="P60" s="10"/>
      <c r="Q60" s="10"/>
      <c r="R60" s="1" t="s">
        <v>10</v>
      </c>
      <c r="S60" s="10"/>
      <c r="T60" s="10"/>
      <c r="U60" s="10"/>
      <c r="V60" s="10"/>
      <c r="W60" s="10"/>
      <c r="X60" s="10"/>
    </row>
    <row r="61" spans="1:24" ht="63" x14ac:dyDescent="0.2">
      <c r="A61" s="7">
        <v>59</v>
      </c>
      <c r="B61" s="27" t="s">
        <v>75</v>
      </c>
      <c r="C61" s="1" t="s">
        <v>3</v>
      </c>
      <c r="D61" s="1" t="s">
        <v>5</v>
      </c>
      <c r="E61" s="4" t="s">
        <v>8</v>
      </c>
      <c r="F61" s="10"/>
      <c r="G61" s="1" t="s">
        <v>10</v>
      </c>
      <c r="H61" s="10"/>
      <c r="I61" s="10"/>
      <c r="J61" s="1" t="s">
        <v>10</v>
      </c>
      <c r="K61" s="10"/>
      <c r="L61" s="10"/>
      <c r="M61" s="10"/>
      <c r="N61" s="10"/>
      <c r="O61" s="10"/>
      <c r="P61" s="10"/>
      <c r="Q61" s="10"/>
      <c r="R61" s="10"/>
      <c r="S61" s="10"/>
      <c r="T61" s="10"/>
      <c r="U61" s="10"/>
      <c r="V61" s="1" t="s">
        <v>10</v>
      </c>
      <c r="W61" s="10"/>
      <c r="X61" s="10"/>
    </row>
  </sheetData>
  <autoFilter ref="A1:X61" xr:uid="{00000000-0009-0000-0000-000000000000}"/>
  <conditionalFormatting sqref="B18">
    <cfRule type="duplicateValues" dxfId="2" priority="1"/>
  </conditionalFormatting>
  <conditionalFormatting sqref="B45">
    <cfRule type="duplicateValues" dxfId="1"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8F84-8477-429C-8AE2-DBCD84DBB39F}">
  <dimension ref="A1:X7"/>
  <sheetViews>
    <sheetView zoomScale="90" zoomScaleNormal="90" workbookViewId="0">
      <pane ySplit="1" topLeftCell="A2" activePane="bottomLeft" state="frozen"/>
      <selection pane="bottomLeft" activeCell="H18" sqref="H18"/>
    </sheetView>
  </sheetViews>
  <sheetFormatPr defaultRowHeight="15" x14ac:dyDescent="0.25"/>
  <cols>
    <col min="1" max="2" width="0" hidden="1" customWidth="1"/>
    <col min="3" max="3" width="12" hidden="1" customWidth="1"/>
    <col min="4" max="4" width="11.5703125" hidden="1" customWidth="1"/>
    <col min="5" max="5" width="12.42578125" hidden="1" customWidth="1"/>
    <col min="6" max="6" width="13.140625" bestFit="1" customWidth="1"/>
    <col min="7" max="7" width="10.140625" bestFit="1" customWidth="1"/>
    <col min="8" max="8" width="15.28515625" customWidth="1"/>
    <col min="9" max="9" width="24" bestFit="1" customWidth="1"/>
    <col min="10" max="10" width="20.7109375" bestFit="1" customWidth="1"/>
    <col min="12" max="12" width="11" bestFit="1" customWidth="1"/>
    <col min="13" max="13" width="11.42578125" customWidth="1"/>
    <col min="14" max="14" width="13.140625" bestFit="1" customWidth="1"/>
    <col min="15" max="15" width="24.42578125" bestFit="1" customWidth="1"/>
    <col min="16" max="16" width="9" bestFit="1" customWidth="1"/>
    <col min="17" max="17" width="15.85546875" bestFit="1" customWidth="1"/>
    <col min="18" max="18" width="12.85546875" bestFit="1" customWidth="1"/>
    <col min="19" max="19" width="15.42578125" bestFit="1" customWidth="1"/>
    <col min="20" max="20" width="21.42578125" bestFit="1" customWidth="1"/>
    <col min="22" max="22" width="15.5703125" bestFit="1" customWidth="1"/>
    <col min="23" max="23" width="14" customWidth="1"/>
    <col min="24" max="24" width="12.42578125" customWidth="1"/>
  </cols>
  <sheetData>
    <row r="1" spans="1:24" s="34" customFormat="1" ht="94.5" x14ac:dyDescent="0.25">
      <c r="A1" s="37"/>
      <c r="B1" s="37"/>
      <c r="C1" s="37"/>
      <c r="D1" s="37"/>
      <c r="E1" s="38"/>
      <c r="F1" s="32" t="s">
        <v>20</v>
      </c>
      <c r="G1" s="32" t="s">
        <v>14</v>
      </c>
      <c r="H1" s="33" t="s">
        <v>9</v>
      </c>
      <c r="I1" s="32" t="s">
        <v>98</v>
      </c>
      <c r="J1" s="33" t="s">
        <v>24</v>
      </c>
      <c r="K1" s="33" t="s">
        <v>122</v>
      </c>
      <c r="L1" s="33" t="s">
        <v>121</v>
      </c>
      <c r="M1" s="33" t="s">
        <v>90</v>
      </c>
      <c r="N1" s="32" t="s">
        <v>21</v>
      </c>
      <c r="O1" s="32" t="s">
        <v>110</v>
      </c>
      <c r="P1" s="32" t="s">
        <v>11</v>
      </c>
      <c r="Q1" s="32" t="s">
        <v>88</v>
      </c>
      <c r="R1" s="33" t="s">
        <v>17</v>
      </c>
      <c r="S1" s="33" t="s">
        <v>18</v>
      </c>
      <c r="T1" s="33" t="s">
        <v>12</v>
      </c>
      <c r="U1" s="33" t="s">
        <v>13</v>
      </c>
      <c r="V1" s="32" t="s">
        <v>120</v>
      </c>
      <c r="W1" s="32" t="s">
        <v>95</v>
      </c>
      <c r="X1" s="32" t="s">
        <v>100</v>
      </c>
    </row>
    <row r="2" spans="1:24" s="34" customFormat="1" ht="15.75" x14ac:dyDescent="0.25">
      <c r="F2" s="32"/>
      <c r="G2" s="32"/>
      <c r="H2" s="32"/>
      <c r="I2" s="32"/>
      <c r="J2" s="32"/>
      <c r="K2" s="32"/>
      <c r="L2" s="32"/>
      <c r="M2" s="32"/>
      <c r="N2" s="32"/>
      <c r="O2" s="32"/>
      <c r="P2" s="32"/>
      <c r="Q2" s="32"/>
      <c r="R2" s="32"/>
      <c r="S2" s="32"/>
      <c r="T2" s="32"/>
      <c r="U2" s="32"/>
      <c r="V2" s="32"/>
      <c r="W2" s="32"/>
      <c r="X2" s="32"/>
    </row>
    <row r="5" spans="1:24" ht="25.5" customHeight="1" x14ac:dyDescent="0.25">
      <c r="F5" s="39" t="s">
        <v>123</v>
      </c>
      <c r="G5" s="39"/>
      <c r="H5" s="39"/>
      <c r="I5" s="39"/>
      <c r="J5" s="39"/>
    </row>
    <row r="6" spans="1:24" ht="15" customHeight="1" x14ac:dyDescent="0.25">
      <c r="F6" s="39"/>
      <c r="G6" s="39"/>
      <c r="H6" s="39"/>
      <c r="I6" s="39"/>
      <c r="J6" s="39"/>
    </row>
    <row r="7" spans="1:24" x14ac:dyDescent="0.25">
      <c r="F7" s="39"/>
      <c r="G7" s="39"/>
      <c r="H7" s="39"/>
      <c r="I7" s="39"/>
      <c r="J7" s="39"/>
    </row>
  </sheetData>
  <mergeCells count="2">
    <mergeCell ref="A1:E1"/>
    <mergeCell ref="F5:J7"/>
  </mergeCells>
  <pageMargins left="0.7" right="0.7" top="0.75" bottom="0.75" header="0.3" footer="0.3"/>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EE92-29EA-4748-AC83-ACCA133F6AEF}">
  <dimension ref="A1:F65"/>
  <sheetViews>
    <sheetView tabSelected="1" workbookViewId="0">
      <selection activeCell="M4" sqref="M4"/>
    </sheetView>
  </sheetViews>
  <sheetFormatPr defaultRowHeight="15.75" x14ac:dyDescent="0.25"/>
  <cols>
    <col min="1" max="1" width="3.28515625" style="35" customWidth="1"/>
    <col min="2" max="2" width="80.28515625" style="43" bestFit="1" customWidth="1"/>
    <col min="3" max="3" width="46.5703125" style="28" hidden="1" customWidth="1"/>
    <col min="4" max="4" width="0" hidden="1" customWidth="1"/>
  </cols>
  <sheetData>
    <row r="1" spans="1:6" ht="18.75" x14ac:dyDescent="0.3">
      <c r="A1" s="36"/>
      <c r="B1" s="41" t="s">
        <v>119</v>
      </c>
      <c r="C1" s="30"/>
      <c r="D1" s="29"/>
      <c r="E1" s="29"/>
      <c r="F1" s="29"/>
    </row>
    <row r="2" spans="1:6" x14ac:dyDescent="0.25">
      <c r="A2" s="35" t="s">
        <v>118</v>
      </c>
      <c r="B2" s="41"/>
      <c r="D2" s="28"/>
    </row>
    <row r="3" spans="1:6" x14ac:dyDescent="0.25">
      <c r="A3" s="35" t="str">
        <f>IF(B3&lt;&gt;"",MAX($A$2:A2)+1,"")</f>
        <v/>
      </c>
      <c r="B3" s="42" t="str">
        <f>IFERROR(INDEX($C$3:$C$61,MATCH(ROW(A1),$D$3:$D$61,0)),"")</f>
        <v/>
      </c>
      <c r="C3" s="28" t="str">
        <f t="array" ref="C3">IF(SUMPRODUCT((Лист1!F3:X3="Да")*(Лист2!F$2:X$2="Да"))&gt;0,Лист1!B3,"")</f>
        <v/>
      </c>
      <c r="D3" s="31" t="str">
        <f>IF(C3&lt;&gt;"",MAX($D$2:D2)+1,"")</f>
        <v/>
      </c>
      <c r="E3" s="40"/>
    </row>
    <row r="4" spans="1:6" x14ac:dyDescent="0.25">
      <c r="A4" s="35" t="str">
        <f>IF(B4&lt;&gt;"",MAX($A$2:A3)+1,"")</f>
        <v/>
      </c>
      <c r="B4" s="42" t="str">
        <f>IFERROR(INDEX($C$3:$C$61,MATCH(ROW(A2),$D$3:$D$61,0)),"")</f>
        <v/>
      </c>
      <c r="C4" s="28" t="str">
        <f>IF(SUMPRODUCT((Лист1!F4:X4="Да")*(Лист2!F$2:X$2="Да"))&gt;0,Лист1!B4,"")</f>
        <v/>
      </c>
      <c r="D4" s="31" t="str">
        <f>IF(C4&lt;&gt;"",MAX($D$2:D3)+1,"")</f>
        <v/>
      </c>
      <c r="E4" s="40"/>
    </row>
    <row r="5" spans="1:6" x14ac:dyDescent="0.25">
      <c r="A5" s="35" t="str">
        <f>IF(B5&lt;&gt;"",MAX($A$2:A4)+1,"")</f>
        <v/>
      </c>
      <c r="B5" s="42" t="str">
        <f>IFERROR(INDEX($C$3:$C$61,MATCH(ROW(A3),$D$3:$D$61,0)),"")</f>
        <v/>
      </c>
      <c r="C5" s="28" t="str">
        <f>IF(SUMPRODUCT((Лист1!F5:X5="Да")*(Лист2!F$2:X$2="Да"))&gt;0,Лист1!B5,"")</f>
        <v/>
      </c>
      <c r="D5" s="31" t="str">
        <f>IF(C5&lt;&gt;"",MAX($D$2:D4)+1,"")</f>
        <v/>
      </c>
      <c r="E5" s="40"/>
    </row>
    <row r="6" spans="1:6" x14ac:dyDescent="0.25">
      <c r="A6" s="35" t="str">
        <f>IF(B6&lt;&gt;"",MAX($A$2:A5)+1,"")</f>
        <v/>
      </c>
      <c r="B6" s="42" t="str">
        <f t="shared" ref="B6:B63" si="0">IFERROR(INDEX($C$3:$C$61,MATCH(ROW(A4),$D$3:$D$61,0)),"")</f>
        <v/>
      </c>
      <c r="C6" s="28" t="str">
        <f>IF(SUMPRODUCT((Лист1!F6:X6="Да")*(Лист2!F$2:X$2="Да"))&gt;0,Лист1!B6,"")</f>
        <v/>
      </c>
      <c r="D6" s="31" t="str">
        <f>IF(C6&lt;&gt;"",MAX($D$2:D5)+1,"")</f>
        <v/>
      </c>
      <c r="E6" s="40"/>
    </row>
    <row r="7" spans="1:6" x14ac:dyDescent="0.25">
      <c r="A7" s="35" t="str">
        <f>IF(B7&lt;&gt;"",MAX($A$2:A6)+1,"")</f>
        <v/>
      </c>
      <c r="B7" s="42" t="str">
        <f t="shared" si="0"/>
        <v/>
      </c>
      <c r="C7" s="28" t="str">
        <f>IF(SUMPRODUCT((Лист1!F7:X7="Да")*(Лист2!F$2:X$2="Да"))&gt;0,Лист1!B7,"")</f>
        <v/>
      </c>
      <c r="D7" s="31" t="str">
        <f>IF(C7&lt;&gt;"",MAX($D$2:D6)+1,"")</f>
        <v/>
      </c>
      <c r="E7" s="40"/>
    </row>
    <row r="8" spans="1:6" x14ac:dyDescent="0.25">
      <c r="A8" s="35" t="str">
        <f>IF(B8&lt;&gt;"",MAX($A$2:A7)+1,"")</f>
        <v/>
      </c>
      <c r="B8" s="42" t="str">
        <f t="shared" si="0"/>
        <v/>
      </c>
      <c r="C8" s="28" t="str">
        <f>IF(SUMPRODUCT((Лист1!F8:X8="Да")*(Лист2!F$2:X$2="Да"))&gt;0,Лист1!B8,"")</f>
        <v/>
      </c>
      <c r="D8" s="31" t="str">
        <f>IF(C8&lt;&gt;"",MAX($D$2:D7)+1,"")</f>
        <v/>
      </c>
      <c r="E8" s="40"/>
    </row>
    <row r="9" spans="1:6" x14ac:dyDescent="0.25">
      <c r="A9" s="35" t="str">
        <f>IF(B9&lt;&gt;"",MAX($A$2:A8)+1,"")</f>
        <v/>
      </c>
      <c r="B9" s="42" t="str">
        <f t="shared" si="0"/>
        <v/>
      </c>
      <c r="C9" s="28" t="str">
        <f>IF(SUMPRODUCT((Лист1!F9:X9="Да")*(Лист2!F$2:X$2="Да"))&gt;0,Лист1!B9,"")</f>
        <v/>
      </c>
      <c r="D9" s="31" t="str">
        <f>IF(C9&lt;&gt;"",MAX($D$2:D8)+1,"")</f>
        <v/>
      </c>
      <c r="E9" s="40"/>
    </row>
    <row r="10" spans="1:6" x14ac:dyDescent="0.25">
      <c r="A10" s="35" t="str">
        <f>IF(B10&lt;&gt;"",MAX($A$2:A9)+1,"")</f>
        <v/>
      </c>
      <c r="B10" s="42" t="str">
        <f t="shared" si="0"/>
        <v/>
      </c>
      <c r="C10" s="28" t="str">
        <f>IF(SUMPRODUCT((Лист1!F10:X10="Да")*(Лист2!F$2:X$2="Да"))&gt;0,Лист1!B10,"")</f>
        <v/>
      </c>
      <c r="D10" s="31" t="str">
        <f>IF(C10&lt;&gt;"",MAX($D$2:D9)+1,"")</f>
        <v/>
      </c>
      <c r="E10" s="40"/>
    </row>
    <row r="11" spans="1:6" x14ac:dyDescent="0.25">
      <c r="A11" s="35" t="str">
        <f>IF(B11&lt;&gt;"",MAX($A$2:A10)+1,"")</f>
        <v/>
      </c>
      <c r="B11" s="42" t="str">
        <f t="shared" si="0"/>
        <v/>
      </c>
      <c r="C11" s="28" t="str">
        <f>IF(SUMPRODUCT((Лист1!F11:X11="Да")*(Лист2!F$2:X$2="Да"))&gt;0,Лист1!B11,"")</f>
        <v/>
      </c>
      <c r="D11" s="31" t="str">
        <f>IF(C11&lt;&gt;"",MAX($D$2:D10)+1,"")</f>
        <v/>
      </c>
      <c r="E11" s="40"/>
    </row>
    <row r="12" spans="1:6" x14ac:dyDescent="0.25">
      <c r="A12" s="35" t="str">
        <f>IF(B12&lt;&gt;"",MAX($A$2:A11)+1,"")</f>
        <v/>
      </c>
      <c r="B12" s="42" t="str">
        <f t="shared" si="0"/>
        <v/>
      </c>
      <c r="C12" s="28" t="str">
        <f>IF(SUMPRODUCT((Лист1!F12:X12="Да")*(Лист2!F$2:X$2="Да"))&gt;0,Лист1!B12,"")</f>
        <v/>
      </c>
      <c r="D12" s="31" t="str">
        <f>IF(C12&lt;&gt;"",MAX($D$2:D11)+1,"")</f>
        <v/>
      </c>
      <c r="E12" s="40"/>
    </row>
    <row r="13" spans="1:6" x14ac:dyDescent="0.25">
      <c r="A13" s="35" t="str">
        <f>IF(B13&lt;&gt;"",MAX($A$2:A12)+1,"")</f>
        <v/>
      </c>
      <c r="B13" s="42" t="str">
        <f t="shared" si="0"/>
        <v/>
      </c>
      <c r="C13" s="28" t="str">
        <f>IF(SUMPRODUCT((Лист1!F13:X13="Да")*(Лист2!F$2:X$2="Да"))&gt;0,Лист1!B13,"")</f>
        <v/>
      </c>
      <c r="D13" s="31" t="str">
        <f>IF(C13&lt;&gt;"",MAX($D$2:D12)+1,"")</f>
        <v/>
      </c>
      <c r="E13" s="40"/>
    </row>
    <row r="14" spans="1:6" x14ac:dyDescent="0.25">
      <c r="A14" s="35" t="str">
        <f>IF(B14&lt;&gt;"",MAX($A$2:A13)+1,"")</f>
        <v/>
      </c>
      <c r="B14" s="42" t="str">
        <f t="shared" si="0"/>
        <v/>
      </c>
      <c r="C14" s="28" t="str">
        <f>IF(SUMPRODUCT((Лист1!F14:X14="Да")*(Лист2!F$2:X$2="Да"))&gt;0,Лист1!B14,"")</f>
        <v/>
      </c>
      <c r="D14" s="31" t="str">
        <f>IF(C14&lt;&gt;"",MAX($D$2:D13)+1,"")</f>
        <v/>
      </c>
      <c r="E14" s="40"/>
    </row>
    <row r="15" spans="1:6" x14ac:dyDescent="0.25">
      <c r="A15" s="35" t="str">
        <f>IF(B15&lt;&gt;"",MAX($A$2:A14)+1,"")</f>
        <v/>
      </c>
      <c r="B15" s="42" t="str">
        <f t="shared" si="0"/>
        <v/>
      </c>
      <c r="C15" s="28" t="str">
        <f>IF(SUMPRODUCT((Лист1!F15:X15="Да")*(Лист2!F$2:X$2="Да"))&gt;0,Лист1!B15,"")</f>
        <v/>
      </c>
      <c r="D15" s="31" t="str">
        <f>IF(C15&lt;&gt;"",MAX($D$2:D14)+1,"")</f>
        <v/>
      </c>
      <c r="E15" s="40"/>
    </row>
    <row r="16" spans="1:6" x14ac:dyDescent="0.25">
      <c r="A16" s="35" t="str">
        <f>IF(B16&lt;&gt;"",MAX($A$2:A15)+1,"")</f>
        <v/>
      </c>
      <c r="B16" s="42" t="str">
        <f t="shared" si="0"/>
        <v/>
      </c>
      <c r="C16" s="28" t="str">
        <f>IF(SUMPRODUCT((Лист1!F16:X16="Да")*(Лист2!F$2:X$2="Да"))&gt;0,Лист1!B16,"")</f>
        <v/>
      </c>
      <c r="D16" s="31" t="str">
        <f>IF(C16&lt;&gt;"",MAX($D$2:D15)+1,"")</f>
        <v/>
      </c>
      <c r="E16" s="40"/>
    </row>
    <row r="17" spans="1:5" x14ac:dyDescent="0.25">
      <c r="A17" s="35" t="str">
        <f>IF(B17&lt;&gt;"",MAX($A$2:A16)+1,"")</f>
        <v/>
      </c>
      <c r="B17" s="42" t="str">
        <f t="shared" si="0"/>
        <v/>
      </c>
      <c r="C17" s="28" t="str">
        <f>IF(SUMPRODUCT((Лист1!F17:X17="Да")*(Лист2!F$2:X$2="Да"))&gt;0,Лист1!B17,"")</f>
        <v/>
      </c>
      <c r="D17" s="31" t="str">
        <f>IF(C17&lt;&gt;"",MAX($D$2:D16)+1,"")</f>
        <v/>
      </c>
      <c r="E17" s="40"/>
    </row>
    <row r="18" spans="1:5" x14ac:dyDescent="0.25">
      <c r="A18" s="35" t="str">
        <f>IF(B18&lt;&gt;"",MAX($A$2:A17)+1,"")</f>
        <v/>
      </c>
      <c r="B18" s="42" t="str">
        <f t="shared" si="0"/>
        <v/>
      </c>
      <c r="C18" s="28" t="str">
        <f>IF(SUMPRODUCT((Лист1!F18:X18="Да")*(Лист2!F$2:X$2="Да"))&gt;0,Лист1!B18,"")</f>
        <v/>
      </c>
      <c r="D18" s="31" t="str">
        <f>IF(C18&lt;&gt;"",MAX($D$2:D17)+1,"")</f>
        <v/>
      </c>
      <c r="E18" s="40"/>
    </row>
    <row r="19" spans="1:5" x14ac:dyDescent="0.25">
      <c r="A19" s="35" t="str">
        <f>IF(B19&lt;&gt;"",MAX($A$2:A18)+1,"")</f>
        <v/>
      </c>
      <c r="B19" s="42" t="str">
        <f t="shared" si="0"/>
        <v/>
      </c>
      <c r="C19" s="28" t="str">
        <f>IF(SUMPRODUCT((Лист1!F19:X19="Да")*(Лист2!F$2:X$2="Да"))&gt;0,Лист1!B19,"")</f>
        <v/>
      </c>
      <c r="D19" s="31" t="str">
        <f>IF(C19&lt;&gt;"",MAX($D$2:D18)+1,"")</f>
        <v/>
      </c>
      <c r="E19" s="40"/>
    </row>
    <row r="20" spans="1:5" x14ac:dyDescent="0.25">
      <c r="A20" s="35" t="str">
        <f>IF(B20&lt;&gt;"",MAX($A$2:A19)+1,"")</f>
        <v/>
      </c>
      <c r="B20" s="42" t="str">
        <f t="shared" si="0"/>
        <v/>
      </c>
      <c r="C20" s="28" t="str">
        <f>IF(SUMPRODUCT((Лист1!F20:X20="Да")*(Лист2!F$2:X$2="Да"))&gt;0,Лист1!B20,"")</f>
        <v/>
      </c>
      <c r="D20" s="31" t="str">
        <f>IF(C20&lt;&gt;"",MAX($D$2:D19)+1,"")</f>
        <v/>
      </c>
      <c r="E20" s="40"/>
    </row>
    <row r="21" spans="1:5" x14ac:dyDescent="0.25">
      <c r="A21" s="35" t="str">
        <f>IF(B21&lt;&gt;"",MAX($A$2:A20)+1,"")</f>
        <v/>
      </c>
      <c r="B21" s="42" t="str">
        <f t="shared" si="0"/>
        <v/>
      </c>
      <c r="C21" s="28" t="str">
        <f>IF(SUMPRODUCT((Лист1!F21:X21="Да")*(Лист2!F$2:X$2="Да"))&gt;0,Лист1!B21,"")</f>
        <v/>
      </c>
      <c r="D21" s="31" t="str">
        <f>IF(C21&lt;&gt;"",MAX($D$2:D20)+1,"")</f>
        <v/>
      </c>
      <c r="E21" s="40"/>
    </row>
    <row r="22" spans="1:5" x14ac:dyDescent="0.25">
      <c r="A22" s="35" t="str">
        <f>IF(B22&lt;&gt;"",MAX($A$2:A21)+1,"")</f>
        <v/>
      </c>
      <c r="B22" s="42" t="str">
        <f t="shared" si="0"/>
        <v/>
      </c>
      <c r="C22" s="28" t="str">
        <f>IF(SUMPRODUCT((Лист1!F22:X22="Да")*(Лист2!F$2:X$2="Да"))&gt;0,Лист1!B22,"")</f>
        <v/>
      </c>
      <c r="D22" s="31" t="str">
        <f>IF(C22&lt;&gt;"",MAX($D$2:D21)+1,"")</f>
        <v/>
      </c>
      <c r="E22" s="40"/>
    </row>
    <row r="23" spans="1:5" x14ac:dyDescent="0.25">
      <c r="A23" s="35" t="str">
        <f>IF(B23&lt;&gt;"",MAX($A$2:A22)+1,"")</f>
        <v/>
      </c>
      <c r="B23" s="42" t="str">
        <f t="shared" si="0"/>
        <v/>
      </c>
      <c r="C23" s="28" t="str">
        <f>IF(SUMPRODUCT((Лист1!F23:X23="Да")*(Лист2!F$2:X$2="Да"))&gt;0,Лист1!B23,"")</f>
        <v/>
      </c>
      <c r="D23" s="31" t="str">
        <f>IF(C23&lt;&gt;"",MAX($D$2:D22)+1,"")</f>
        <v/>
      </c>
      <c r="E23" s="40"/>
    </row>
    <row r="24" spans="1:5" x14ac:dyDescent="0.25">
      <c r="A24" s="35" t="str">
        <f>IF(B24&lt;&gt;"",MAX($A$2:A23)+1,"")</f>
        <v/>
      </c>
      <c r="B24" s="42" t="str">
        <f t="shared" si="0"/>
        <v/>
      </c>
      <c r="C24" s="28" t="str">
        <f>IF(SUMPRODUCT((Лист1!F24:X24="Да")*(Лист2!F$2:X$2="Да"))&gt;0,Лист1!B24,"")</f>
        <v/>
      </c>
      <c r="D24" s="31" t="str">
        <f>IF(C24&lt;&gt;"",MAX($D$2:D23)+1,"")</f>
        <v/>
      </c>
      <c r="E24" s="40"/>
    </row>
    <row r="25" spans="1:5" x14ac:dyDescent="0.25">
      <c r="A25" s="35" t="str">
        <f>IF(B25&lt;&gt;"",MAX($A$2:A24)+1,"")</f>
        <v/>
      </c>
      <c r="B25" s="42" t="str">
        <f t="shared" si="0"/>
        <v/>
      </c>
      <c r="C25" s="28" t="str">
        <f>IF(SUMPRODUCT((Лист1!F25:X25="Да")*(Лист2!F$2:X$2="Да"))&gt;0,Лист1!B25,"")</f>
        <v/>
      </c>
      <c r="D25" s="31" t="str">
        <f>IF(C25&lt;&gt;"",MAX($D$2:D24)+1,"")</f>
        <v/>
      </c>
      <c r="E25" s="40"/>
    </row>
    <row r="26" spans="1:5" x14ac:dyDescent="0.25">
      <c r="A26" s="35" t="str">
        <f>IF(B26&lt;&gt;"",MAX($A$2:A25)+1,"")</f>
        <v/>
      </c>
      <c r="B26" s="42" t="str">
        <f t="shared" si="0"/>
        <v/>
      </c>
      <c r="C26" s="28" t="str">
        <f>IF(SUMPRODUCT((Лист1!F26:X26="Да")*(Лист2!F$2:X$2="Да"))&gt;0,Лист1!B26,"")</f>
        <v/>
      </c>
      <c r="D26" s="31" t="str">
        <f>IF(C26&lt;&gt;"",MAX($D$2:D25)+1,"")</f>
        <v/>
      </c>
      <c r="E26" s="40"/>
    </row>
    <row r="27" spans="1:5" x14ac:dyDescent="0.25">
      <c r="A27" s="35" t="str">
        <f>IF(B27&lt;&gt;"",MAX($A$2:A26)+1,"")</f>
        <v/>
      </c>
      <c r="B27" s="42" t="str">
        <f t="shared" si="0"/>
        <v/>
      </c>
      <c r="C27" s="28" t="str">
        <f>IF(SUMPRODUCT((Лист1!F27:X27="Да")*(Лист2!F$2:X$2="Да"))&gt;0,Лист1!B27,"")</f>
        <v/>
      </c>
      <c r="D27" s="31" t="str">
        <f>IF(C27&lt;&gt;"",MAX($D$2:D26)+1,"")</f>
        <v/>
      </c>
      <c r="E27" s="40"/>
    </row>
    <row r="28" spans="1:5" x14ac:dyDescent="0.25">
      <c r="A28" s="35" t="str">
        <f>IF(B28&lt;&gt;"",MAX($A$2:A27)+1,"")</f>
        <v/>
      </c>
      <c r="B28" s="42" t="str">
        <f t="shared" si="0"/>
        <v/>
      </c>
      <c r="C28" s="28" t="str">
        <f>IF(SUMPRODUCT((Лист1!F28:X28="Да")*(Лист2!F$2:X$2="Да"))&gt;0,Лист1!B28,"")</f>
        <v/>
      </c>
      <c r="D28" s="31" t="str">
        <f>IF(C28&lt;&gt;"",MAX($D$2:D27)+1,"")</f>
        <v/>
      </c>
      <c r="E28" s="40"/>
    </row>
    <row r="29" spans="1:5" x14ac:dyDescent="0.25">
      <c r="A29" s="35" t="str">
        <f>IF(B29&lt;&gt;"",MAX($A$2:A28)+1,"")</f>
        <v/>
      </c>
      <c r="B29" s="42" t="str">
        <f t="shared" si="0"/>
        <v/>
      </c>
      <c r="C29" s="28" t="str">
        <f>IF(SUMPRODUCT((Лист1!F29:X29="Да")*(Лист2!F$2:X$2="Да"))&gt;0,Лист1!B29,"")</f>
        <v/>
      </c>
      <c r="D29" s="31" t="str">
        <f>IF(C29&lt;&gt;"",MAX($D$2:D28)+1,"")</f>
        <v/>
      </c>
      <c r="E29" s="40"/>
    </row>
    <row r="30" spans="1:5" x14ac:dyDescent="0.25">
      <c r="A30" s="35" t="str">
        <f>IF(B30&lt;&gt;"",MAX($A$2:A29)+1,"")</f>
        <v/>
      </c>
      <c r="B30" s="42" t="str">
        <f t="shared" si="0"/>
        <v/>
      </c>
      <c r="C30" s="28" t="str">
        <f>IF(SUMPRODUCT((Лист1!F30:X30="Да")*(Лист2!F$2:X$2="Да"))&gt;0,Лист1!B30,"")</f>
        <v/>
      </c>
      <c r="D30" s="31" t="str">
        <f>IF(C30&lt;&gt;"",MAX($D$2:D29)+1,"")</f>
        <v/>
      </c>
      <c r="E30" s="40"/>
    </row>
    <row r="31" spans="1:5" x14ac:dyDescent="0.25">
      <c r="A31" s="35" t="str">
        <f>IF(B31&lt;&gt;"",MAX($A$2:A30)+1,"")</f>
        <v/>
      </c>
      <c r="B31" s="42" t="str">
        <f t="shared" si="0"/>
        <v/>
      </c>
      <c r="C31" s="28" t="str">
        <f>IF(SUMPRODUCT((Лист1!F31:X31="Да")*(Лист2!F$2:X$2="Да"))&gt;0,Лист1!B31,"")</f>
        <v/>
      </c>
      <c r="D31" s="31" t="str">
        <f>IF(C31&lt;&gt;"",MAX($D$2:D30)+1,"")</f>
        <v/>
      </c>
      <c r="E31" s="40"/>
    </row>
    <row r="32" spans="1:5" x14ac:dyDescent="0.25">
      <c r="A32" s="35" t="str">
        <f>IF(B32&lt;&gt;"",MAX($A$2:A31)+1,"")</f>
        <v/>
      </c>
      <c r="B32" s="42" t="str">
        <f t="shared" si="0"/>
        <v/>
      </c>
      <c r="C32" s="28" t="str">
        <f>IF(SUMPRODUCT((Лист1!F32:X32="Да")*(Лист2!F$2:X$2="Да"))&gt;0,Лист1!B32,"")</f>
        <v/>
      </c>
      <c r="D32" s="31" t="str">
        <f>IF(C32&lt;&gt;"",MAX($D$2:D31)+1,"")</f>
        <v/>
      </c>
      <c r="E32" s="40"/>
    </row>
    <row r="33" spans="1:5" x14ac:dyDescent="0.25">
      <c r="A33" s="35" t="str">
        <f>IF(B33&lt;&gt;"",MAX($A$2:A32)+1,"")</f>
        <v/>
      </c>
      <c r="B33" s="42" t="str">
        <f t="shared" si="0"/>
        <v/>
      </c>
      <c r="C33" s="28" t="str">
        <f>IF(SUMPRODUCT((Лист1!F33:X33="Да")*(Лист2!F$2:X$2="Да"))&gt;0,Лист1!B33,"")</f>
        <v/>
      </c>
      <c r="D33" s="31" t="str">
        <f>IF(C33&lt;&gt;"",MAX($D$2:D32)+1,"")</f>
        <v/>
      </c>
      <c r="E33" s="40"/>
    </row>
    <row r="34" spans="1:5" x14ac:dyDescent="0.25">
      <c r="A34" s="35" t="str">
        <f>IF(B34&lt;&gt;"",MAX($A$2:A33)+1,"")</f>
        <v/>
      </c>
      <c r="B34" s="42" t="str">
        <f t="shared" si="0"/>
        <v/>
      </c>
      <c r="C34" s="28" t="str">
        <f>IF(SUMPRODUCT((Лист1!F34:X34="Да")*(Лист2!F$2:X$2="Да"))&gt;0,Лист1!B34,"")</f>
        <v/>
      </c>
      <c r="D34" s="31" t="str">
        <f>IF(C34&lt;&gt;"",MAX($D$2:D33)+1,"")</f>
        <v/>
      </c>
      <c r="E34" s="40"/>
    </row>
    <row r="35" spans="1:5" x14ac:dyDescent="0.25">
      <c r="A35" s="35" t="str">
        <f>IF(B35&lt;&gt;"",MAX($A$2:A34)+1,"")</f>
        <v/>
      </c>
      <c r="B35" s="42" t="str">
        <f t="shared" si="0"/>
        <v/>
      </c>
      <c r="C35" s="28" t="str">
        <f>IF(SUMPRODUCT((Лист1!F35:X35="Да")*(Лист2!F$2:X$2="Да"))&gt;0,Лист1!B35,"")</f>
        <v/>
      </c>
      <c r="D35" s="31" t="str">
        <f>IF(C35&lt;&gt;"",MAX($D$2:D34)+1,"")</f>
        <v/>
      </c>
      <c r="E35" s="40"/>
    </row>
    <row r="36" spans="1:5" x14ac:dyDescent="0.25">
      <c r="A36" s="35" t="str">
        <f>IF(B36&lt;&gt;"",MAX($A$2:A35)+1,"")</f>
        <v/>
      </c>
      <c r="B36" s="42" t="str">
        <f t="shared" si="0"/>
        <v/>
      </c>
      <c r="C36" s="28" t="str">
        <f>IF(SUMPRODUCT((Лист1!F36:X36="Да")*(Лист2!F$2:X$2="Да"))&gt;0,Лист1!B36,"")</f>
        <v/>
      </c>
      <c r="D36" s="31" t="str">
        <f>IF(C36&lt;&gt;"",MAX($D$2:D35)+1,"")</f>
        <v/>
      </c>
      <c r="E36" s="40"/>
    </row>
    <row r="37" spans="1:5" x14ac:dyDescent="0.25">
      <c r="A37" s="35" t="str">
        <f>IF(B37&lt;&gt;"",MAX($A$2:A36)+1,"")</f>
        <v/>
      </c>
      <c r="B37" s="42" t="str">
        <f t="shared" si="0"/>
        <v/>
      </c>
      <c r="C37" s="28" t="str">
        <f>IF(SUMPRODUCT((Лист1!F37:X37="Да")*(Лист2!F$2:X$2="Да"))&gt;0,Лист1!B37,"")</f>
        <v/>
      </c>
      <c r="D37" s="31" t="str">
        <f>IF(C37&lt;&gt;"",MAX($D$2:D36)+1,"")</f>
        <v/>
      </c>
      <c r="E37" s="40"/>
    </row>
    <row r="38" spans="1:5" x14ac:dyDescent="0.25">
      <c r="A38" s="35" t="str">
        <f>IF(B38&lt;&gt;"",MAX($A$2:A37)+1,"")</f>
        <v/>
      </c>
      <c r="B38" s="42" t="str">
        <f t="shared" si="0"/>
        <v/>
      </c>
      <c r="C38" s="28" t="str">
        <f>IF(SUMPRODUCT((Лист1!F38:X38="Да")*(Лист2!F$2:X$2="Да"))&gt;0,Лист1!B38,"")</f>
        <v/>
      </c>
      <c r="D38" s="31" t="str">
        <f>IF(C38&lt;&gt;"",MAX($D$2:D37)+1,"")</f>
        <v/>
      </c>
      <c r="E38" s="40"/>
    </row>
    <row r="39" spans="1:5" x14ac:dyDescent="0.25">
      <c r="A39" s="35" t="str">
        <f>IF(B39&lt;&gt;"",MAX($A$2:A38)+1,"")</f>
        <v/>
      </c>
      <c r="B39" s="42" t="str">
        <f t="shared" si="0"/>
        <v/>
      </c>
      <c r="C39" s="28" t="str">
        <f>IF(SUMPRODUCT((Лист1!F39:X39="Да")*(Лист2!F$2:X$2="Да"))&gt;0,Лист1!B39,"")</f>
        <v/>
      </c>
      <c r="D39" s="31" t="str">
        <f>IF(C39&lt;&gt;"",MAX($D$2:D38)+1,"")</f>
        <v/>
      </c>
      <c r="E39" s="40"/>
    </row>
    <row r="40" spans="1:5" x14ac:dyDescent="0.25">
      <c r="A40" s="35" t="str">
        <f>IF(B40&lt;&gt;"",MAX($A$2:A39)+1,"")</f>
        <v/>
      </c>
      <c r="B40" s="42" t="str">
        <f t="shared" si="0"/>
        <v/>
      </c>
      <c r="C40" s="28" t="str">
        <f>IF(SUMPRODUCT((Лист1!F40:X40="Да")*(Лист2!F$2:X$2="Да"))&gt;0,Лист1!B40,"")</f>
        <v/>
      </c>
      <c r="D40" s="31" t="str">
        <f>IF(C40&lt;&gt;"",MAX($D$2:D39)+1,"")</f>
        <v/>
      </c>
      <c r="E40" s="40"/>
    </row>
    <row r="41" spans="1:5" x14ac:dyDescent="0.25">
      <c r="A41" s="35" t="str">
        <f>IF(B41&lt;&gt;"",MAX($A$2:A40)+1,"")</f>
        <v/>
      </c>
      <c r="B41" s="42" t="str">
        <f t="shared" si="0"/>
        <v/>
      </c>
      <c r="C41" s="28" t="str">
        <f>IF(SUMPRODUCT((Лист1!F41:X41="Да")*(Лист2!F$2:X$2="Да"))&gt;0,Лист1!B41,"")</f>
        <v/>
      </c>
      <c r="D41" s="31" t="str">
        <f>IF(C41&lt;&gt;"",MAX($D$2:D40)+1,"")</f>
        <v/>
      </c>
      <c r="E41" s="40"/>
    </row>
    <row r="42" spans="1:5" x14ac:dyDescent="0.25">
      <c r="A42" s="35" t="str">
        <f>IF(B42&lt;&gt;"",MAX($A$2:A41)+1,"")</f>
        <v/>
      </c>
      <c r="B42" s="42" t="str">
        <f t="shared" si="0"/>
        <v/>
      </c>
      <c r="C42" s="28" t="str">
        <f>IF(SUMPRODUCT((Лист1!F42:X42="Да")*(Лист2!F$2:X$2="Да"))&gt;0,Лист1!B42,"")</f>
        <v/>
      </c>
      <c r="D42" s="31" t="str">
        <f>IF(C42&lt;&gt;"",MAX($D$2:D41)+1,"")</f>
        <v/>
      </c>
      <c r="E42" s="40"/>
    </row>
    <row r="43" spans="1:5" x14ac:dyDescent="0.25">
      <c r="A43" s="35" t="str">
        <f>IF(B43&lt;&gt;"",MAX($A$2:A42)+1,"")</f>
        <v/>
      </c>
      <c r="B43" s="42" t="str">
        <f t="shared" si="0"/>
        <v/>
      </c>
      <c r="C43" s="28" t="str">
        <f>IF(SUMPRODUCT((Лист1!F43:X43="Да")*(Лист2!F$2:X$2="Да"))&gt;0,Лист1!B43,"")</f>
        <v/>
      </c>
      <c r="D43" s="31" t="str">
        <f>IF(C43&lt;&gt;"",MAX($D$2:D42)+1,"")</f>
        <v/>
      </c>
      <c r="E43" s="40"/>
    </row>
    <row r="44" spans="1:5" x14ac:dyDescent="0.25">
      <c r="A44" s="35" t="str">
        <f>IF(B44&lt;&gt;"",MAX($A$2:A43)+1,"")</f>
        <v/>
      </c>
      <c r="B44" s="42" t="str">
        <f t="shared" si="0"/>
        <v/>
      </c>
      <c r="C44" s="28" t="str">
        <f>IF(SUMPRODUCT((Лист1!F44:X44="Да")*(Лист2!F$2:X$2="Да"))&gt;0,Лист1!B44,"")</f>
        <v/>
      </c>
      <c r="D44" s="31" t="str">
        <f>IF(C44&lt;&gt;"",MAX($D$2:D43)+1,"")</f>
        <v/>
      </c>
      <c r="E44" s="40"/>
    </row>
    <row r="45" spans="1:5" x14ac:dyDescent="0.25">
      <c r="A45" s="35" t="str">
        <f>IF(B45&lt;&gt;"",MAX($A$2:A44)+1,"")</f>
        <v/>
      </c>
      <c r="B45" s="42" t="str">
        <f t="shared" si="0"/>
        <v/>
      </c>
      <c r="C45" s="28" t="str">
        <f>IF(SUMPRODUCT((Лист1!F45:X45="Да")*(Лист2!F$2:X$2="Да"))&gt;0,Лист1!B45,"")</f>
        <v/>
      </c>
      <c r="D45" s="31" t="str">
        <f>IF(C45&lt;&gt;"",MAX($D$2:D44)+1,"")</f>
        <v/>
      </c>
      <c r="E45" s="40"/>
    </row>
    <row r="46" spans="1:5" x14ac:dyDescent="0.25">
      <c r="A46" s="35" t="str">
        <f>IF(B46&lt;&gt;"",MAX($A$2:A45)+1,"")</f>
        <v/>
      </c>
      <c r="B46" s="42" t="str">
        <f t="shared" si="0"/>
        <v/>
      </c>
      <c r="C46" s="28" t="str">
        <f>IF(SUMPRODUCT((Лист1!F46:X46="Да")*(Лист2!F$2:X$2="Да"))&gt;0,Лист1!B46,"")</f>
        <v/>
      </c>
      <c r="D46" s="31" t="str">
        <f>IF(C46&lt;&gt;"",MAX($D$2:D45)+1,"")</f>
        <v/>
      </c>
      <c r="E46" s="40"/>
    </row>
    <row r="47" spans="1:5" x14ac:dyDescent="0.25">
      <c r="A47" s="35" t="str">
        <f>IF(B47&lt;&gt;"",MAX($A$2:A46)+1,"")</f>
        <v/>
      </c>
      <c r="B47" s="42" t="str">
        <f t="shared" si="0"/>
        <v/>
      </c>
      <c r="C47" s="28" t="str">
        <f>IF(SUMPRODUCT((Лист1!F47:X47="Да")*(Лист2!F$2:X$2="Да"))&gt;0,Лист1!B47,"")</f>
        <v/>
      </c>
      <c r="D47" s="31" t="str">
        <f>IF(C47&lt;&gt;"",MAX($D$2:D46)+1,"")</f>
        <v/>
      </c>
      <c r="E47" s="40"/>
    </row>
    <row r="48" spans="1:5" x14ac:dyDescent="0.25">
      <c r="A48" s="35" t="str">
        <f>IF(B48&lt;&gt;"",MAX($A$2:A47)+1,"")</f>
        <v/>
      </c>
      <c r="B48" s="42" t="str">
        <f t="shared" si="0"/>
        <v/>
      </c>
      <c r="C48" s="28" t="str">
        <f>IF(SUMPRODUCT((Лист1!F48:X48="Да")*(Лист2!F$2:X$2="Да"))&gt;0,Лист1!B48,"")</f>
        <v/>
      </c>
      <c r="D48" s="31" t="str">
        <f>IF(C48&lt;&gt;"",MAX($D$2:D47)+1,"")</f>
        <v/>
      </c>
      <c r="E48" s="40"/>
    </row>
    <row r="49" spans="1:5" x14ac:dyDescent="0.25">
      <c r="A49" s="35" t="str">
        <f>IF(B49&lt;&gt;"",MAX($A$2:A48)+1,"")</f>
        <v/>
      </c>
      <c r="B49" s="42" t="str">
        <f t="shared" si="0"/>
        <v/>
      </c>
      <c r="C49" s="28" t="str">
        <f>IF(SUMPRODUCT((Лист1!F49:X49="Да")*(Лист2!F$2:X$2="Да"))&gt;0,Лист1!B49,"")</f>
        <v/>
      </c>
      <c r="D49" s="31" t="str">
        <f>IF(C49&lt;&gt;"",MAX($D$2:D48)+1,"")</f>
        <v/>
      </c>
      <c r="E49" s="40"/>
    </row>
    <row r="50" spans="1:5" x14ac:dyDescent="0.25">
      <c r="A50" s="35" t="str">
        <f>IF(B50&lt;&gt;"",MAX($A$2:A49)+1,"")</f>
        <v/>
      </c>
      <c r="B50" s="42" t="str">
        <f t="shared" si="0"/>
        <v/>
      </c>
      <c r="C50" s="28" t="str">
        <f>IF(SUMPRODUCT((Лист1!F50:X50="Да")*(Лист2!F$2:X$2="Да"))&gt;0,Лист1!B50,"")</f>
        <v/>
      </c>
      <c r="D50" s="31" t="str">
        <f>IF(C50&lt;&gt;"",MAX($D$2:D49)+1,"")</f>
        <v/>
      </c>
      <c r="E50" s="40"/>
    </row>
    <row r="51" spans="1:5" x14ac:dyDescent="0.25">
      <c r="A51" s="35" t="str">
        <f>IF(B51&lt;&gt;"",MAX($A$2:A50)+1,"")</f>
        <v/>
      </c>
      <c r="B51" s="42" t="str">
        <f t="shared" si="0"/>
        <v/>
      </c>
      <c r="C51" s="28" t="str">
        <f>IF(SUMPRODUCT((Лист1!F51:X51="Да")*(Лист2!F$2:X$2="Да"))&gt;0,Лист1!B51,"")</f>
        <v/>
      </c>
      <c r="D51" s="31" t="str">
        <f>IF(C51&lt;&gt;"",MAX($D$2:D50)+1,"")</f>
        <v/>
      </c>
      <c r="E51" s="40"/>
    </row>
    <row r="52" spans="1:5" x14ac:dyDescent="0.25">
      <c r="A52" s="35" t="str">
        <f>IF(B52&lt;&gt;"",MAX($A$2:A51)+1,"")</f>
        <v/>
      </c>
      <c r="B52" s="42" t="str">
        <f t="shared" si="0"/>
        <v/>
      </c>
      <c r="C52" s="28" t="str">
        <f>IF(SUMPRODUCT((Лист1!F52:X52="Да")*(Лист2!F$2:X$2="Да"))&gt;0,Лист1!B52,"")</f>
        <v/>
      </c>
      <c r="D52" s="31" t="str">
        <f>IF(C52&lt;&gt;"",MAX($D$2:D51)+1,"")</f>
        <v/>
      </c>
      <c r="E52" s="40"/>
    </row>
    <row r="53" spans="1:5" x14ac:dyDescent="0.25">
      <c r="A53" s="35" t="str">
        <f>IF(B53&lt;&gt;"",MAX($A$2:A52)+1,"")</f>
        <v/>
      </c>
      <c r="B53" s="42" t="str">
        <f t="shared" si="0"/>
        <v/>
      </c>
      <c r="C53" s="28" t="str">
        <f>IF(SUMPRODUCT((Лист1!F53:X53="Да")*(Лист2!F$2:X$2="Да"))&gt;0,Лист1!B53,"")</f>
        <v/>
      </c>
      <c r="D53" s="31" t="str">
        <f>IF(C53&lt;&gt;"",MAX($D$2:D52)+1,"")</f>
        <v/>
      </c>
      <c r="E53" s="40"/>
    </row>
    <row r="54" spans="1:5" x14ac:dyDescent="0.25">
      <c r="A54" s="35" t="str">
        <f>IF(B54&lt;&gt;"",MAX($A$2:A53)+1,"")</f>
        <v/>
      </c>
      <c r="B54" s="42" t="str">
        <f t="shared" si="0"/>
        <v/>
      </c>
      <c r="C54" s="28" t="str">
        <f>IF(SUMPRODUCT((Лист1!F54:X54="Да")*(Лист2!F$2:X$2="Да"))&gt;0,Лист1!B54,"")</f>
        <v/>
      </c>
      <c r="D54" s="31" t="str">
        <f>IF(C54&lt;&gt;"",MAX($D$2:D53)+1,"")</f>
        <v/>
      </c>
      <c r="E54" s="40"/>
    </row>
    <row r="55" spans="1:5" x14ac:dyDescent="0.25">
      <c r="A55" s="35" t="str">
        <f>IF(B55&lt;&gt;"",MAX($A$2:A54)+1,"")</f>
        <v/>
      </c>
      <c r="B55" s="42" t="str">
        <f t="shared" si="0"/>
        <v/>
      </c>
      <c r="C55" s="28" t="str">
        <f>IF(SUMPRODUCT((Лист1!F55:X55="Да")*(Лист2!F$2:X$2="Да"))&gt;0,Лист1!B55,"")</f>
        <v/>
      </c>
      <c r="D55" s="31" t="str">
        <f>IF(C55&lt;&gt;"",MAX($D$2:D54)+1,"")</f>
        <v/>
      </c>
      <c r="E55" s="40"/>
    </row>
    <row r="56" spans="1:5" x14ac:dyDescent="0.25">
      <c r="A56" s="35" t="str">
        <f>IF(B56&lt;&gt;"",MAX($A$2:A55)+1,"")</f>
        <v/>
      </c>
      <c r="B56" s="42" t="str">
        <f t="shared" si="0"/>
        <v/>
      </c>
      <c r="C56" s="28" t="str">
        <f>IF(SUMPRODUCT((Лист1!F56:X56="Да")*(Лист2!F$2:X$2="Да"))&gt;0,Лист1!B56,"")</f>
        <v/>
      </c>
      <c r="D56" s="31" t="str">
        <f>IF(C56&lt;&gt;"",MAX($D$2:D55)+1,"")</f>
        <v/>
      </c>
      <c r="E56" s="40"/>
    </row>
    <row r="57" spans="1:5" x14ac:dyDescent="0.25">
      <c r="A57" s="35" t="str">
        <f>IF(B57&lt;&gt;"",MAX($A$2:A56)+1,"")</f>
        <v/>
      </c>
      <c r="B57" s="42" t="str">
        <f t="shared" si="0"/>
        <v/>
      </c>
      <c r="C57" s="28" t="str">
        <f>IF(SUMPRODUCT((Лист1!F57:X57="Да")*(Лист2!F$2:X$2="Да"))&gt;0,Лист1!B57,"")</f>
        <v/>
      </c>
      <c r="D57" s="31" t="str">
        <f>IF(C57&lt;&gt;"",MAX($D$2:D56)+1,"")</f>
        <v/>
      </c>
      <c r="E57" s="40"/>
    </row>
    <row r="58" spans="1:5" x14ac:dyDescent="0.25">
      <c r="A58" s="35" t="str">
        <f>IF(B58&lt;&gt;"",MAX($A$2:A57)+1,"")</f>
        <v/>
      </c>
      <c r="B58" s="42" t="str">
        <f t="shared" si="0"/>
        <v/>
      </c>
      <c r="C58" s="28" t="str">
        <f>IF(SUMPRODUCT((Лист1!F58:X58="Да")*(Лист2!F$2:X$2="Да"))&gt;0,Лист1!B58,"")</f>
        <v/>
      </c>
      <c r="D58" s="31" t="str">
        <f>IF(C58&lt;&gt;"",MAX($D$2:D57)+1,"")</f>
        <v/>
      </c>
      <c r="E58" s="40"/>
    </row>
    <row r="59" spans="1:5" x14ac:dyDescent="0.25">
      <c r="A59" s="35" t="str">
        <f>IF(B59&lt;&gt;"",MAX($A$2:A58)+1,"")</f>
        <v/>
      </c>
      <c r="B59" s="42" t="str">
        <f t="shared" si="0"/>
        <v/>
      </c>
      <c r="C59" s="28" t="str">
        <f>IF(SUMPRODUCT((Лист1!F59:X59="Да")*(Лист2!F$2:X$2="Да"))&gt;0,Лист1!B59,"")</f>
        <v/>
      </c>
      <c r="D59" s="31" t="str">
        <f>IF(C59&lt;&gt;"",MAX($D$2:D58)+1,"")</f>
        <v/>
      </c>
      <c r="E59" s="40"/>
    </row>
    <row r="60" spans="1:5" x14ac:dyDescent="0.25">
      <c r="A60" s="35" t="str">
        <f>IF(B60&lt;&gt;"",MAX($A$2:A59)+1,"")</f>
        <v/>
      </c>
      <c r="B60" s="42" t="str">
        <f t="shared" si="0"/>
        <v/>
      </c>
      <c r="C60" s="28" t="str">
        <f>IF(SUMPRODUCT((Лист1!F60:X60="Да")*(Лист2!F$2:X$2="Да"))&gt;0,Лист1!B60,"")</f>
        <v/>
      </c>
      <c r="D60" s="31" t="str">
        <f>IF(C60&lt;&gt;"",MAX($D$2:D59)+1,"")</f>
        <v/>
      </c>
      <c r="E60" s="40"/>
    </row>
    <row r="61" spans="1:5" x14ac:dyDescent="0.25">
      <c r="A61" s="35" t="str">
        <f>IF(B61&lt;&gt;"",MAX($A$2:A60)+1,"")</f>
        <v/>
      </c>
      <c r="B61" s="42" t="str">
        <f t="shared" si="0"/>
        <v/>
      </c>
      <c r="C61" s="28" t="str">
        <f>IF(SUMPRODUCT((Лист1!F61:X61="Да")*(Лист2!F$2:X$2="Да"))&gt;0,Лист1!B61,"")</f>
        <v/>
      </c>
      <c r="D61" s="31" t="str">
        <f>IF(C61&lt;&gt;"",MAX($D$2:D60)+1,"")</f>
        <v/>
      </c>
      <c r="E61" s="40"/>
    </row>
    <row r="62" spans="1:5" x14ac:dyDescent="0.25">
      <c r="A62" s="35" t="str">
        <f>IF(B62&lt;&gt;"",MAX($A$2:A61)+1,"")</f>
        <v/>
      </c>
      <c r="B62" s="42" t="str">
        <f t="shared" si="0"/>
        <v/>
      </c>
      <c r="D62" s="31" t="str">
        <f>IF(C62&lt;&gt;"",MAX($D$2:D61)+1,"")</f>
        <v/>
      </c>
      <c r="E62" s="40"/>
    </row>
    <row r="63" spans="1:5" x14ac:dyDescent="0.25">
      <c r="A63" s="35" t="str">
        <f>IF(B63&lt;&gt;"",MAX($A$2:A62)+1,"")</f>
        <v/>
      </c>
      <c r="B63" s="42" t="str">
        <f t="shared" si="0"/>
        <v/>
      </c>
      <c r="D63" s="31" t="str">
        <f>IF(C63&lt;&gt;"",MAX($D$2:D62)+1,"")</f>
        <v/>
      </c>
      <c r="E63" s="40"/>
    </row>
    <row r="64" spans="1:5" x14ac:dyDescent="0.25">
      <c r="D64" s="28"/>
      <c r="E64" s="40"/>
    </row>
    <row r="65" spans="5:5" x14ac:dyDescent="0.25">
      <c r="E65" s="40"/>
    </row>
  </sheetData>
  <conditionalFormatting sqref="A3:B65">
    <cfRule type="expression" dxfId="0" priority="1">
      <formula>$B5&lt;&gt;""</formula>
    </cfRule>
  </conditionalFormatting>
  <pageMargins left="0.25" right="0.25" top="0.75" bottom="0.75" header="0.3" footer="0.3"/>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Каменюк Надежда Леонидовна</dc:creator>
  <cp:lastModifiedBy>Ольмезов Ислам Мухамедович</cp:lastModifiedBy>
  <cp:lastPrinted>2026-02-04T09:04:39Z</cp:lastPrinted>
  <dcterms:created xsi:type="dcterms:W3CDTF">2024-09-05T07:23:34Z</dcterms:created>
  <dcterms:modified xsi:type="dcterms:W3CDTF">2026-02-04T11:00:26Z</dcterms:modified>
</cp:coreProperties>
</file>